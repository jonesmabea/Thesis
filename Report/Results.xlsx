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nes/Desktop/Thesis/Report/"/>
    </mc:Choice>
  </mc:AlternateContent>
  <xr:revisionPtr revIDLastSave="0" documentId="13_ncr:1_{0AC4EE51-03E3-4842-9F6E-CF62C25B5792}" xr6:coauthVersionLast="34" xr6:coauthVersionMax="34" xr10:uidLastSave="{00000000-0000-0000-0000-000000000000}"/>
  <bookViews>
    <workbookView xWindow="0" yWindow="0" windowWidth="28800" windowHeight="18000" xr2:uid="{00000000-000D-0000-FFFF-FFFF00000000}"/>
  </bookViews>
  <sheets>
    <sheet name="Sheet1" sheetId="1" r:id="rId1"/>
  </sheets>
  <calcPr calcId="179017"/>
</workbook>
</file>

<file path=xl/calcChain.xml><?xml version="1.0" encoding="utf-8"?>
<calcChain xmlns="http://schemas.openxmlformats.org/spreadsheetml/2006/main">
  <c r="L51" i="1" l="1"/>
  <c r="J61" i="1" s="1"/>
  <c r="Q49" i="1"/>
  <c r="R49" i="1"/>
  <c r="S49" i="1"/>
  <c r="Q50" i="1"/>
  <c r="R50" i="1"/>
  <c r="S50" i="1"/>
  <c r="Q54" i="1"/>
  <c r="R54" i="1"/>
  <c r="S54" i="1"/>
  <c r="Q55" i="1"/>
  <c r="R55" i="1"/>
  <c r="S55" i="1"/>
  <c r="Q56" i="1"/>
  <c r="R56" i="1"/>
  <c r="S56" i="1"/>
  <c r="R48" i="1"/>
  <c r="S48" i="1"/>
  <c r="Q48" i="1"/>
  <c r="K51" i="1"/>
  <c r="M51" i="1"/>
  <c r="N51" i="1"/>
  <c r="O51" i="1"/>
  <c r="K61" i="1" s="1"/>
  <c r="J51" i="1"/>
  <c r="K57" i="1"/>
  <c r="L57" i="1"/>
  <c r="J62" i="1" s="1"/>
  <c r="M57" i="1"/>
  <c r="N57" i="1"/>
  <c r="O57" i="1"/>
  <c r="K62" i="1" s="1"/>
  <c r="J57" i="1"/>
  <c r="G52" i="1"/>
  <c r="H52" i="1"/>
  <c r="G53" i="1"/>
  <c r="H53" i="1"/>
  <c r="G54" i="1"/>
  <c r="H54" i="1"/>
  <c r="F53" i="1"/>
  <c r="F54" i="1"/>
  <c r="F52" i="1"/>
  <c r="R51" i="1" l="1"/>
  <c r="R57" i="1"/>
  <c r="S57" i="1"/>
  <c r="Q51" i="1"/>
  <c r="Q57" i="1"/>
  <c r="S51" i="1"/>
  <c r="K28" i="1"/>
  <c r="L28" i="1"/>
  <c r="M28" i="1"/>
  <c r="K29" i="1"/>
  <c r="L29" i="1"/>
  <c r="M29" i="1"/>
  <c r="K30" i="1"/>
  <c r="L30" i="1"/>
  <c r="M30" i="1"/>
  <c r="L27" i="1"/>
  <c r="M27" i="1"/>
  <c r="K27" i="1"/>
  <c r="M3" i="1" l="1"/>
  <c r="M4" i="1"/>
  <c r="M5" i="1"/>
  <c r="L3" i="1"/>
  <c r="L4" i="1"/>
  <c r="L5" i="1"/>
  <c r="K3" i="1"/>
  <c r="K4" i="1"/>
  <c r="K5" i="1"/>
  <c r="L2" i="1"/>
  <c r="M2" i="1"/>
  <c r="K2" i="1"/>
  <c r="N2" i="1" l="1"/>
  <c r="N3" i="1"/>
  <c r="N4" i="1"/>
  <c r="N5" i="1"/>
</calcChain>
</file>

<file path=xl/sharedStrings.xml><?xml version="1.0" encoding="utf-8"?>
<sst xmlns="http://schemas.openxmlformats.org/spreadsheetml/2006/main" count="267" uniqueCount="105">
  <si>
    <t>Batch Size 2 Alpha 1 Beta 10 Learning Rate 0.0010</t>
  </si>
  <si>
    <t>car_detection AP</t>
  </si>
  <si>
    <t>car_orientation AP</t>
  </si>
  <si>
    <t>car_detection_ground</t>
  </si>
  <si>
    <t>car_detection_3d AP</t>
  </si>
  <si>
    <t>Pre Trained Car</t>
  </si>
  <si>
    <t>Batch Size 2 Alpha 1.5 Beta 1 Learning Rate 0.001 SGD</t>
  </si>
  <si>
    <t>Batch Size 2 Alpha 1.5 Beta 1 Learning Rate 0.001</t>
  </si>
  <si>
    <t xml:space="preserve">Pedestrian default </t>
  </si>
  <si>
    <t>pedestrian_detection AP</t>
  </si>
  <si>
    <t>pedestrian_orientation AP</t>
  </si>
  <si>
    <t>pedestrian_detection_ground</t>
  </si>
  <si>
    <t>pedestrian_detection_3d AP</t>
  </si>
  <si>
    <t>pedestrian default batch _size 5</t>
  </si>
  <si>
    <t>Default Cyclist</t>
  </si>
  <si>
    <t>cyclist_detection AP</t>
  </si>
  <si>
    <t>cyclist_orientation AP</t>
  </si>
  <si>
    <t>cyclist_detection_ground</t>
  </si>
  <si>
    <t>cyclist_detection_3d AP</t>
  </si>
  <si>
    <t>Default Urban Car</t>
  </si>
  <si>
    <t>Default Non Urban Car</t>
  </si>
  <si>
    <t>AVG</t>
  </si>
  <si>
    <t>Easy</t>
  </si>
  <si>
    <t>Medium</t>
  </si>
  <si>
    <t>Hard</t>
  </si>
  <si>
    <t xml:space="preserve">Pretrained 200 Epochs </t>
  </si>
  <si>
    <t xml:space="preserve">Average Orientation Similarity </t>
  </si>
  <si>
    <t>BEV BB</t>
  </si>
  <si>
    <t xml:space="preserve">3D BB </t>
  </si>
  <si>
    <t xml:space="preserve">2D BB </t>
  </si>
  <si>
    <t>AVOD</t>
  </si>
  <si>
    <t>2D Bounding Box</t>
  </si>
  <si>
    <t>BEV Bounding Box</t>
  </si>
  <si>
    <t>3D Bounding Box</t>
  </si>
  <si>
    <t>AVOD Urban</t>
  </si>
  <si>
    <t>AVOD Non-urban</t>
  </si>
  <si>
    <t>VoxelNet</t>
  </si>
  <si>
    <t>Urban</t>
  </si>
  <si>
    <t>Non-urban</t>
  </si>
  <si>
    <t>min</t>
  </si>
  <si>
    <t>max</t>
  </si>
  <si>
    <t>mean</t>
  </si>
  <si>
    <t>LIDAR</t>
  </si>
  <si>
    <t>Image</t>
  </si>
  <si>
    <t>Inference Time</t>
  </si>
  <si>
    <t>VoxelNet Urban</t>
  </si>
  <si>
    <t>VoxelNet Non-urban</t>
  </si>
  <si>
    <t xml:space="preserve">Medium </t>
  </si>
  <si>
    <t>Context</t>
  </si>
  <si>
    <t>Difficulty</t>
  </si>
  <si>
    <t xml:space="preserve"> precision    recall  f1-score   support</t>
  </si>
  <si>
    <t xml:space="preserve">  non-urban       0.48      0.62      0.54       206</t>
  </si>
  <si>
    <t xml:space="preserve">      urban       0.46      0.33      0.38       206</t>
  </si>
  <si>
    <t>avg / total       0.47      0.47      0.46       412</t>
  </si>
  <si>
    <t xml:space="preserve"> precision    </t>
  </si>
  <si>
    <t xml:space="preserve">recall </t>
  </si>
  <si>
    <t>f1-score</t>
  </si>
  <si>
    <t>support</t>
  </si>
  <si>
    <t xml:space="preserve">  non-urban </t>
  </si>
  <si>
    <t xml:space="preserve">      urban</t>
  </si>
  <si>
    <t xml:space="preserve">avg / total </t>
  </si>
  <si>
    <t xml:space="preserve">            precision    recall  f1-score   support</t>
  </si>
  <si>
    <t xml:space="preserve">  non-urban       0.56      0.28      0.38       205</t>
  </si>
  <si>
    <t xml:space="preserve">      urban       0.52      0.78      0.63       207</t>
  </si>
  <si>
    <t>avg / total       0.54      0.53      0.50       412</t>
  </si>
  <si>
    <t>Context Detection using Image Segmentation</t>
  </si>
  <si>
    <t>Context Detection using  PointCloud Feature Matching</t>
  </si>
  <si>
    <t xml:space="preserve">  non-urban       0.52      0.45      0.48       206</t>
  </si>
  <si>
    <t xml:space="preserve">      urban       0.51      0.58      0.55       206</t>
  </si>
  <si>
    <t>avg / total       0.51      0.51      0.51       412</t>
  </si>
  <si>
    <t>Context Detection using Feature Matching</t>
  </si>
  <si>
    <t xml:space="preserve">Car </t>
  </si>
  <si>
    <t>Pedestrian</t>
  </si>
  <si>
    <t>pedestrian_detection AP: 41.648922 40.789223 37.975712</t>
  </si>
  <si>
    <t>pedestrian_detection_BEV AP: 38.399113 35.766422 35.053738</t>
  </si>
  <si>
    <t>pedestrian_heading_BEV AP: 18.400555 17.280657 16.728415</t>
  </si>
  <si>
    <t>pedestrian_detection_3D AP: 30.298996 28.810305 27.585852</t>
  </si>
  <si>
    <t>pedestrian_heading_3D AP: 14.674870 13.956198 13.213568</t>
  </si>
  <si>
    <t>Network Input Data Class Code Inference F-pointNet [2] Image and Lidar multi Yes 170ms VoxelNet [3] Lidar multi N/A 30ms AVOD [4] Image and Lidar multi Yes 80ms MV3D [18] Image and Lidar car Yes 350ms DoBEM [5] Image and Lidar car N/A 600ms 3D-SSMFCNN [1] Image car Yes 100ms</t>
  </si>
  <si>
    <t xml:space="preserve">Network Model </t>
  </si>
  <si>
    <t>MV3D</t>
  </si>
  <si>
    <t>Mode</t>
  </si>
  <si>
    <t>MONO3D</t>
  </si>
  <si>
    <t>3DOP</t>
  </si>
  <si>
    <t>LiDAR</t>
  </si>
  <si>
    <t>LiDAR+Image</t>
  </si>
  <si>
    <t>Mono Image</t>
  </si>
  <si>
    <t>Stereo Image</t>
  </si>
  <si>
    <t>Code</t>
  </si>
  <si>
    <t>Unnoficial</t>
  </si>
  <si>
    <t>Yes</t>
  </si>
  <si>
    <t>100ms</t>
  </si>
  <si>
    <t>360ms</t>
  </si>
  <si>
    <t>pedestrian_detection AP: 55.672031 51.969517 46.578247</t>
  </si>
  <si>
    <t>cyclist_detection AP: 38.668636 23.639612 23.394829</t>
  </si>
  <si>
    <t>pedestrian_detection_BEV AP: 58.895271 58.800095 52.930809</t>
  </si>
  <si>
    <t>pedestrian_heading_BEV AP: 45.082378 44.050426 39.321251</t>
  </si>
  <si>
    <t>cyclist_detection_BEV AP: 38.378601 23.272148 22.987617</t>
  </si>
  <si>
    <t>cyclist_heading_BEV AP: 37.854919 22.951063 22.700773</t>
  </si>
  <si>
    <t>pedestrian_detection_3D AP: 58.734085 54.863007 52.668953</t>
  </si>
  <si>
    <t>pedestrian_heading_3D AP: 44.973850 41.573380 39.136570</t>
  </si>
  <si>
    <t>cyclist_detection_3D AP: 38.378601 23.272148 22.987617</t>
  </si>
  <si>
    <t>cyclist_heading_3D AP: 37.854919 22.951063 22.700773</t>
  </si>
  <si>
    <t>4.2s</t>
  </si>
  <si>
    <t>3s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</si>
</sst>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£-809]#,##0.00;[Red]&quot;-&quot;[$£-809]#,##0.00"/>
    <numFmt numFmtId="165" formatCode="0.000"/>
  </numFmts>
  <fonts count="6">
    <font>
      <sz val="12"/>
      <color rgb="FF000000"/>
      <name val="Liberation Sans"/>
    </font>
    <font>
      <b/>
      <i/>
      <sz val="16"/>
      <color rgb="FF000000"/>
      <name val="Liberation Sans"/>
    </font>
    <font>
      <b/>
      <i/>
      <u/>
      <sz val="12"/>
      <color rgb="FF000000"/>
      <name val="Liberation Sans"/>
    </font>
    <font>
      <sz val="13"/>
      <color rgb="FF000000"/>
      <name val="Var(--jp-code-font-family)"/>
    </font>
    <font>
      <b/>
      <sz val="12"/>
      <color rgb="FF000000"/>
      <name val="Liberation Sans"/>
    </font>
    <font>
      <b/>
      <i/>
      <sz val="12"/>
      <color rgb="FF000000"/>
      <name val="Liberation Sans"/>
    </font>
  </fonts>
  <fills count="2">
    <fill>
      <patternFill patternType="none"/>
    </fill>
    <fill>
      <patternFill patternType="gray125"/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ck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0" borderId="0" applyNumberFormat="0" applyBorder="0" applyProtection="0">
      <alignment horizontal="center"/>
    </xf>
    <xf numFmtId="0" fontId="1" fillId="0" borderId="0" applyNumberFormat="0" applyBorder="0" applyProtection="0">
      <alignment horizontal="center" textRotation="90"/>
    </xf>
    <xf numFmtId="0" fontId="2" fillId="0" borderId="0" applyNumberFormat="0" applyBorder="0" applyProtection="0"/>
    <xf numFmtId="164" fontId="2" fillId="0" borderId="0" applyBorder="0" applyProtection="0"/>
  </cellStyleXfs>
  <cellXfs count="58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/>
    <xf numFmtId="0" fontId="0" fillId="0" borderId="0" xfId="0" applyAlignment="1">
      <alignment horizontal="center"/>
    </xf>
    <xf numFmtId="0" fontId="3" fillId="0" borderId="0" xfId="0" applyFont="1"/>
    <xf numFmtId="0" fontId="0" fillId="0" borderId="1" xfId="0" applyBorder="1"/>
    <xf numFmtId="0" fontId="0" fillId="0" borderId="2" xfId="0" applyBorder="1"/>
    <xf numFmtId="0" fontId="0" fillId="0" borderId="0" xfId="0" applyBorder="1"/>
    <xf numFmtId="0" fontId="4" fillId="0" borderId="5" xfId="0" applyFont="1" applyBorder="1"/>
    <xf numFmtId="0" fontId="4" fillId="0" borderId="1" xfId="0" applyFont="1" applyBorder="1"/>
    <xf numFmtId="0" fontId="4" fillId="0" borderId="3" xfId="0" applyFont="1" applyBorder="1"/>
    <xf numFmtId="0" fontId="0" fillId="0" borderId="8" xfId="0" applyBorder="1"/>
    <xf numFmtId="0" fontId="0" fillId="0" borderId="8" xfId="0" applyBorder="1" applyAlignment="1"/>
    <xf numFmtId="0" fontId="4" fillId="0" borderId="9" xfId="0" applyFont="1" applyBorder="1"/>
    <xf numFmtId="0" fontId="4" fillId="0" borderId="10" xfId="0" applyFont="1" applyBorder="1"/>
    <xf numFmtId="0" fontId="4" fillId="0" borderId="11" xfId="0" applyFont="1" applyBorder="1"/>
    <xf numFmtId="0" fontId="0" fillId="0" borderId="12" xfId="0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5" fillId="0" borderId="3" xfId="0" applyFont="1" applyBorder="1"/>
    <xf numFmtId="0" fontId="5" fillId="0" borderId="1" xfId="0" applyFont="1" applyBorder="1"/>
    <xf numFmtId="0" fontId="5" fillId="0" borderId="5" xfId="0" applyFont="1" applyBorder="1"/>
    <xf numFmtId="0" fontId="5" fillId="0" borderId="8" xfId="0" applyFont="1" applyBorder="1"/>
    <xf numFmtId="0" fontId="5" fillId="0" borderId="14" xfId="0" applyFont="1" applyBorder="1"/>
    <xf numFmtId="0" fontId="0" fillId="0" borderId="6" xfId="0" applyBorder="1"/>
    <xf numFmtId="0" fontId="4" fillId="0" borderId="22" xfId="0" applyFont="1" applyBorder="1"/>
    <xf numFmtId="0" fontId="4" fillId="0" borderId="23" xfId="0" applyFont="1" applyBorder="1"/>
    <xf numFmtId="0" fontId="0" fillId="0" borderId="16" xfId="0" applyBorder="1"/>
    <xf numFmtId="0" fontId="4" fillId="0" borderId="6" xfId="0" applyFont="1" applyBorder="1"/>
    <xf numFmtId="0" fontId="4" fillId="0" borderId="4" xfId="0" applyFont="1" applyBorder="1"/>
    <xf numFmtId="0" fontId="4" fillId="0" borderId="7" xfId="0" applyFont="1" applyBorder="1"/>
    <xf numFmtId="0" fontId="0" fillId="0" borderId="26" xfId="0" applyBorder="1"/>
    <xf numFmtId="0" fontId="4" fillId="0" borderId="2" xfId="0" applyFont="1" applyBorder="1"/>
    <xf numFmtId="0" fontId="0" fillId="0" borderId="27" xfId="0" applyBorder="1"/>
    <xf numFmtId="0" fontId="0" fillId="0" borderId="12" xfId="0" applyBorder="1" applyAlignment="1"/>
    <xf numFmtId="0" fontId="0" fillId="0" borderId="21" xfId="0" applyBorder="1" applyAlignment="1"/>
    <xf numFmtId="0" fontId="0" fillId="0" borderId="20" xfId="0" applyBorder="1" applyAlignment="1"/>
    <xf numFmtId="165" fontId="0" fillId="0" borderId="0" xfId="0" applyNumberFormat="1"/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4" fillId="0" borderId="24" xfId="0" applyFont="1" applyBorder="1" applyAlignment="1">
      <alignment horizontal="center"/>
    </xf>
    <xf numFmtId="0" fontId="4" fillId="0" borderId="25" xfId="0" applyFont="1" applyBorder="1" applyAlignment="1">
      <alignment horizontal="center"/>
    </xf>
  </cellXfs>
  <cellStyles count="5"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Sheet1!$G$2</c:f>
              <c:strCache>
                <c:ptCount val="1"/>
                <c:pt idx="0">
                  <c:v>Easy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(Sheet1!$F$3:$F$6,Sheet1!$F$10:$F$13)</c:f>
              <c:strCache>
                <c:ptCount val="8"/>
                <c:pt idx="0">
                  <c:v>car_detection AP</c:v>
                </c:pt>
                <c:pt idx="1">
                  <c:v>car_orientation AP</c:v>
                </c:pt>
                <c:pt idx="2">
                  <c:v>car_detection_ground</c:v>
                </c:pt>
                <c:pt idx="3">
                  <c:v>car_detection_3d AP</c:v>
                </c:pt>
                <c:pt idx="4">
                  <c:v>car_detection AP</c:v>
                </c:pt>
                <c:pt idx="5">
                  <c:v>car_orientation AP</c:v>
                </c:pt>
                <c:pt idx="6">
                  <c:v>car_detection_ground</c:v>
                </c:pt>
                <c:pt idx="7">
                  <c:v>car_detection_3d AP</c:v>
                </c:pt>
              </c:strCache>
            </c:strRef>
          </c:cat>
          <c:val>
            <c:numRef>
              <c:f>(Sheet1!$G$3:$G$6,Sheet1!$G$10:$G$13)</c:f>
              <c:numCache>
                <c:formatCode>General</c:formatCode>
                <c:ptCount val="8"/>
                <c:pt idx="0">
                  <c:v>71.210792999999995</c:v>
                </c:pt>
                <c:pt idx="1">
                  <c:v>29.040751</c:v>
                </c:pt>
                <c:pt idx="2">
                  <c:v>83.221396999999996</c:v>
                </c:pt>
                <c:pt idx="3">
                  <c:v>44.193409000000003</c:v>
                </c:pt>
                <c:pt idx="4">
                  <c:v>77.526375000000002</c:v>
                </c:pt>
                <c:pt idx="5">
                  <c:v>34.075690999999999</c:v>
                </c:pt>
                <c:pt idx="6">
                  <c:v>88.252028999999993</c:v>
                </c:pt>
                <c:pt idx="7">
                  <c:v>67.599365000000006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9F-524B-8BAD-AC8EFCDDC8EB}"/>
            </c:ext>
          </c:extLst>
        </c:ser>
        <c:ser>
          <c:idx val="1"/>
          <c:order val="1"/>
          <c:tx>
            <c:strRef>
              <c:f>Sheet1!$H$9</c:f>
              <c:strCache>
                <c:ptCount val="1"/>
                <c:pt idx="0">
                  <c:v>Medium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(Sheet1!$F$3:$F$6,Sheet1!$F$10:$F$13)</c:f>
              <c:strCache>
                <c:ptCount val="8"/>
                <c:pt idx="0">
                  <c:v>car_detection AP</c:v>
                </c:pt>
                <c:pt idx="1">
                  <c:v>car_orientation AP</c:v>
                </c:pt>
                <c:pt idx="2">
                  <c:v>car_detection_ground</c:v>
                </c:pt>
                <c:pt idx="3">
                  <c:v>car_detection_3d AP</c:v>
                </c:pt>
                <c:pt idx="4">
                  <c:v>car_detection AP</c:v>
                </c:pt>
                <c:pt idx="5">
                  <c:v>car_orientation AP</c:v>
                </c:pt>
                <c:pt idx="6">
                  <c:v>car_detection_ground</c:v>
                </c:pt>
                <c:pt idx="7">
                  <c:v>car_detection_3d AP</c:v>
                </c:pt>
              </c:strCache>
            </c:strRef>
          </c:cat>
          <c:val>
            <c:numRef>
              <c:f>(Sheet1!$H$3:$H$6,Sheet1!$H$10:$H$13)</c:f>
              <c:numCache>
                <c:formatCode>General</c:formatCode>
                <c:ptCount val="8"/>
                <c:pt idx="0">
                  <c:v>66.723724000000004</c:v>
                </c:pt>
                <c:pt idx="1">
                  <c:v>27.085087000000001</c:v>
                </c:pt>
                <c:pt idx="2">
                  <c:v>71.564475999999999</c:v>
                </c:pt>
                <c:pt idx="3">
                  <c:v>37.166308999999998</c:v>
                </c:pt>
                <c:pt idx="4">
                  <c:v>67.917511000000005</c:v>
                </c:pt>
                <c:pt idx="5">
                  <c:v>28.937159999999999</c:v>
                </c:pt>
                <c:pt idx="6">
                  <c:v>74.980964999999998</c:v>
                </c:pt>
                <c:pt idx="7">
                  <c:v>49.464626000000003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9F-524B-8BAD-AC8EFCDDC8EB}"/>
            </c:ext>
          </c:extLst>
        </c:ser>
        <c:ser>
          <c:idx val="2"/>
          <c:order val="2"/>
          <c:tx>
            <c:strRef>
              <c:f>Sheet1!$I$9</c:f>
              <c:strCache>
                <c:ptCount val="1"/>
                <c:pt idx="0">
                  <c:v>Hard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(Sheet1!$F$3:$F$6,Sheet1!$F$10:$F$13)</c:f>
              <c:strCache>
                <c:ptCount val="8"/>
                <c:pt idx="0">
                  <c:v>car_detection AP</c:v>
                </c:pt>
                <c:pt idx="1">
                  <c:v>car_orientation AP</c:v>
                </c:pt>
                <c:pt idx="2">
                  <c:v>car_detection_ground</c:v>
                </c:pt>
                <c:pt idx="3">
                  <c:v>car_detection_3d AP</c:v>
                </c:pt>
                <c:pt idx="4">
                  <c:v>car_detection AP</c:v>
                </c:pt>
                <c:pt idx="5">
                  <c:v>car_orientation AP</c:v>
                </c:pt>
                <c:pt idx="6">
                  <c:v>car_detection_ground</c:v>
                </c:pt>
                <c:pt idx="7">
                  <c:v>car_detection_3d AP</c:v>
                </c:pt>
              </c:strCache>
            </c:strRef>
          </c:cat>
          <c:val>
            <c:numRef>
              <c:f>(Sheet1!$I$3:$I$6,Sheet1!$I$10:$I$13)</c:f>
              <c:numCache>
                <c:formatCode>General</c:formatCode>
                <c:ptCount val="8"/>
                <c:pt idx="0">
                  <c:v>59.916339999999998</c:v>
                </c:pt>
                <c:pt idx="1">
                  <c:v>24.349730999999998</c:v>
                </c:pt>
                <c:pt idx="2">
                  <c:v>65.815987000000007</c:v>
                </c:pt>
                <c:pt idx="3">
                  <c:v>34.312012000000003</c:v>
                </c:pt>
                <c:pt idx="4">
                  <c:v>61.966206</c:v>
                </c:pt>
                <c:pt idx="5">
                  <c:v>26.408826999999999</c:v>
                </c:pt>
                <c:pt idx="6">
                  <c:v>69.124595999999997</c:v>
                </c:pt>
                <c:pt idx="7">
                  <c:v>44.753883000000002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19F-524B-8BAD-AC8EFCDDC8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90071200"/>
        <c:axId val="290132576"/>
      </c:barChart>
      <c:catAx>
        <c:axId val="29007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0132576"/>
        <c:crosses val="autoZero"/>
        <c:auto val="1"/>
        <c:lblAlgn val="ctr"/>
        <c:lblOffset val="100"/>
        <c:noMultiLvlLbl val="0"/>
      </c:catAx>
      <c:valAx>
        <c:axId val="29013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0071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Precision Difference between non urban and urban detections</a:t>
            </a:r>
            <a:endParaRPr lang="en-US"/>
          </a:p>
        </c:rich>
      </c:tx>
      <c:layout>
        <c:manualLayout>
          <c:xMode val="edge"/>
          <c:yMode val="edge"/>
          <c:x val="0.2116456692913386"/>
          <c:y val="0.166666666666666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Sheet1!$K$1</c:f>
              <c:strCache>
                <c:ptCount val="1"/>
                <c:pt idx="0">
                  <c:v>Easy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Sheet1!$J$2:$J$5</c:f>
              <c:strCache>
                <c:ptCount val="4"/>
                <c:pt idx="0">
                  <c:v>2D BB </c:v>
                </c:pt>
                <c:pt idx="1">
                  <c:v>Average Orientation Similarity </c:v>
                </c:pt>
                <c:pt idx="2">
                  <c:v>BEV BB</c:v>
                </c:pt>
                <c:pt idx="3">
                  <c:v>3D BB </c:v>
                </c:pt>
              </c:strCache>
            </c:strRef>
          </c:cat>
          <c:val>
            <c:numRef>
              <c:f>Sheet1!$K$2:$K$5</c:f>
              <c:numCache>
                <c:formatCode>General</c:formatCode>
                <c:ptCount val="4"/>
                <c:pt idx="0">
                  <c:v>6.3155820000000062</c:v>
                </c:pt>
                <c:pt idx="1">
                  <c:v>5.0349399999999989</c:v>
                </c:pt>
                <c:pt idx="2">
                  <c:v>5.0306319999999971</c:v>
                </c:pt>
                <c:pt idx="3">
                  <c:v>23.405956000000003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1B-D644-A093-18690CE81AE8}"/>
            </c:ext>
          </c:extLst>
        </c:ser>
        <c:ser>
          <c:idx val="1"/>
          <c:order val="1"/>
          <c:tx>
            <c:strRef>
              <c:f>Sheet1!$L$1</c:f>
              <c:strCache>
                <c:ptCount val="1"/>
                <c:pt idx="0">
                  <c:v>Medium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Sheet1!$J$2:$J$5</c:f>
              <c:strCache>
                <c:ptCount val="4"/>
                <c:pt idx="0">
                  <c:v>2D BB </c:v>
                </c:pt>
                <c:pt idx="1">
                  <c:v>Average Orientation Similarity </c:v>
                </c:pt>
                <c:pt idx="2">
                  <c:v>BEV BB</c:v>
                </c:pt>
                <c:pt idx="3">
                  <c:v>3D BB </c:v>
                </c:pt>
              </c:strCache>
            </c:strRef>
          </c:cat>
          <c:val>
            <c:numRef>
              <c:f>Sheet1!$L$2:$L$5</c:f>
              <c:numCache>
                <c:formatCode>General</c:formatCode>
                <c:ptCount val="4"/>
                <c:pt idx="0">
                  <c:v>1.1937870000000004</c:v>
                </c:pt>
                <c:pt idx="1">
                  <c:v>1.8520729999999972</c:v>
                </c:pt>
                <c:pt idx="2">
                  <c:v>3.4164889999999986</c:v>
                </c:pt>
                <c:pt idx="3">
                  <c:v>12.298317000000004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1B-D644-A093-18690CE81AE8}"/>
            </c:ext>
          </c:extLst>
        </c:ser>
        <c:ser>
          <c:idx val="2"/>
          <c:order val="2"/>
          <c:tx>
            <c:strRef>
              <c:f>Sheet1!$M$1</c:f>
              <c:strCache>
                <c:ptCount val="1"/>
                <c:pt idx="0">
                  <c:v>Hard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strRef>
              <c:f>Sheet1!$J$2:$J$5</c:f>
              <c:strCache>
                <c:ptCount val="4"/>
                <c:pt idx="0">
                  <c:v>2D BB </c:v>
                </c:pt>
                <c:pt idx="1">
                  <c:v>Average Orientation Similarity </c:v>
                </c:pt>
                <c:pt idx="2">
                  <c:v>BEV BB</c:v>
                </c:pt>
                <c:pt idx="3">
                  <c:v>3D BB </c:v>
                </c:pt>
              </c:strCache>
            </c:strRef>
          </c:cat>
          <c:val>
            <c:numRef>
              <c:f>Sheet1!$M$2:$M$5</c:f>
              <c:numCache>
                <c:formatCode>General</c:formatCode>
                <c:ptCount val="4"/>
                <c:pt idx="0">
                  <c:v>2.0498660000000015</c:v>
                </c:pt>
                <c:pt idx="1">
                  <c:v>2.0590960000000003</c:v>
                </c:pt>
                <c:pt idx="2">
                  <c:v>3.3086089999999899</c:v>
                </c:pt>
                <c:pt idx="3">
                  <c:v>10.441870999999999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1B-D644-A093-18690CE81A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952597871"/>
        <c:axId val="1952599551"/>
        <c:axId val="0"/>
      </c:bar3DChart>
      <c:catAx>
        <c:axId val="195259787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2599551"/>
        <c:crosses val="autoZero"/>
        <c:auto val="1"/>
        <c:lblAlgn val="ctr"/>
        <c:lblOffset val="100"/>
        <c:noMultiLvlLbl val="0"/>
      </c:catAx>
      <c:valAx>
        <c:axId val="1952599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2597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/>
                </a:solidFill>
                <a:latin typeface="+mj-lt"/>
                <a:ea typeface="+mj-ea"/>
                <a:cs typeface="+mj-cs"/>
              </a:defRPr>
            </a:pPr>
            <a:r>
              <a:rPr lang="en-US">
                <a:solidFill>
                  <a:schemeClr val="tx1"/>
                </a:solidFill>
              </a:rPr>
              <a:t>Voxelnet</a:t>
            </a:r>
          </a:p>
          <a:p>
            <a:pPr>
              <a:defRPr>
                <a:solidFill>
                  <a:schemeClr val="tx1"/>
                </a:solidFill>
              </a:defRPr>
            </a:pPr>
            <a:r>
              <a:rPr lang="en-US">
                <a:solidFill>
                  <a:schemeClr val="tx1"/>
                </a:solidFill>
              </a:rPr>
              <a:t>Non-urban vs Urban AP Difference</a:t>
            </a:r>
          </a:p>
        </c:rich>
      </c:tx>
      <c:layout>
        <c:manualLayout>
          <c:xMode val="edge"/>
          <c:yMode val="edge"/>
          <c:x val="0.2212550306403072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/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Sheet1!$K$26</c:f>
              <c:strCache>
                <c:ptCount val="1"/>
                <c:pt idx="0">
                  <c:v>Easy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Sheet1!$J$27:$J$30</c:f>
              <c:strCache>
                <c:ptCount val="4"/>
                <c:pt idx="0">
                  <c:v>2D BB </c:v>
                </c:pt>
                <c:pt idx="1">
                  <c:v>Average Orientation Similarity </c:v>
                </c:pt>
                <c:pt idx="2">
                  <c:v>BEV BB</c:v>
                </c:pt>
                <c:pt idx="3">
                  <c:v>3D BB </c:v>
                </c:pt>
              </c:strCache>
            </c:strRef>
          </c:cat>
          <c:val>
            <c:numRef>
              <c:f>Sheet1!$K$27:$K$30</c:f>
              <c:numCache>
                <c:formatCode>General</c:formatCode>
                <c:ptCount val="4"/>
                <c:pt idx="0">
                  <c:v>7.9224700000000041</c:v>
                </c:pt>
                <c:pt idx="1">
                  <c:v>0</c:v>
                </c:pt>
                <c:pt idx="2">
                  <c:v>2.2946550000000059</c:v>
                </c:pt>
                <c:pt idx="3">
                  <c:v>-5.0113979999999998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E5-F649-9D8D-2630827E3ADE}"/>
            </c:ext>
          </c:extLst>
        </c:ser>
        <c:ser>
          <c:idx val="1"/>
          <c:order val="1"/>
          <c:tx>
            <c:strRef>
              <c:f>Sheet1!$L$26</c:f>
              <c:strCache>
                <c:ptCount val="1"/>
                <c:pt idx="0">
                  <c:v>Medium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Sheet1!$J$27:$J$30</c:f>
              <c:strCache>
                <c:ptCount val="4"/>
                <c:pt idx="0">
                  <c:v>2D BB </c:v>
                </c:pt>
                <c:pt idx="1">
                  <c:v>Average Orientation Similarity </c:v>
                </c:pt>
                <c:pt idx="2">
                  <c:v>BEV BB</c:v>
                </c:pt>
                <c:pt idx="3">
                  <c:v>3D BB </c:v>
                </c:pt>
              </c:strCache>
            </c:strRef>
          </c:cat>
          <c:val>
            <c:numRef>
              <c:f>Sheet1!$L$27:$L$30</c:f>
              <c:numCache>
                <c:formatCode>General</c:formatCode>
                <c:ptCount val="4"/>
                <c:pt idx="0">
                  <c:v>1.751221000000001</c:v>
                </c:pt>
                <c:pt idx="1">
                  <c:v>0</c:v>
                </c:pt>
                <c:pt idx="2">
                  <c:v>-0.82664499999999919</c:v>
                </c:pt>
                <c:pt idx="3">
                  <c:v>-9.018383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E5-F649-9D8D-2630827E3ADE}"/>
            </c:ext>
          </c:extLst>
        </c:ser>
        <c:ser>
          <c:idx val="2"/>
          <c:order val="2"/>
          <c:tx>
            <c:strRef>
              <c:f>Sheet1!$M$26</c:f>
              <c:strCache>
                <c:ptCount val="1"/>
                <c:pt idx="0">
                  <c:v>Hard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Sheet1!$J$27:$J$30</c:f>
              <c:strCache>
                <c:ptCount val="4"/>
                <c:pt idx="0">
                  <c:v>2D BB </c:v>
                </c:pt>
                <c:pt idx="1">
                  <c:v>Average Orientation Similarity </c:v>
                </c:pt>
                <c:pt idx="2">
                  <c:v>BEV BB</c:v>
                </c:pt>
                <c:pt idx="3">
                  <c:v>3D BB </c:v>
                </c:pt>
              </c:strCache>
            </c:strRef>
          </c:cat>
          <c:val>
            <c:numRef>
              <c:f>Sheet1!$M$27:$M$30</c:f>
              <c:numCache>
                <c:formatCode>General</c:formatCode>
                <c:ptCount val="4"/>
                <c:pt idx="0">
                  <c:v>2.9971969999999999</c:v>
                </c:pt>
                <c:pt idx="1">
                  <c:v>0</c:v>
                </c:pt>
                <c:pt idx="2">
                  <c:v>1.3992539999999991</c:v>
                </c:pt>
                <c:pt idx="3">
                  <c:v>-4.9346700000000041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BE5-F649-9D8D-2630827E3A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axId val="875425679"/>
        <c:axId val="875427359"/>
      </c:barChart>
      <c:catAx>
        <c:axId val="875425679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5427359"/>
        <c:crosses val="autoZero"/>
        <c:auto val="1"/>
        <c:lblAlgn val="ctr"/>
        <c:lblOffset val="100"/>
        <c:noMultiLvlLbl val="0"/>
      </c:catAx>
      <c:valAx>
        <c:axId val="875427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5425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79087</xdr:colOff>
      <xdr:row>62</xdr:row>
      <xdr:rowOff>152399</xdr:rowOff>
    </xdr:from>
    <xdr:to>
      <xdr:col>29</xdr:col>
      <xdr:colOff>333087</xdr:colOff>
      <xdr:row>74</xdr:row>
      <xdr:rowOff>50800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08ED28-30BE-DB40-B45A-D4EC0ACEF5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310574</xdr:colOff>
      <xdr:row>70</xdr:row>
      <xdr:rowOff>131618</xdr:rowOff>
    </xdr:from>
    <xdr:to>
      <xdr:col>25</xdr:col>
      <xdr:colOff>562264</xdr:colOff>
      <xdr:row>84</xdr:row>
      <xdr:rowOff>25401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2207BA7-19E2-D443-A00C-7967A0DF30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680605</xdr:colOff>
      <xdr:row>26</xdr:row>
      <xdr:rowOff>43873</xdr:rowOff>
    </xdr:from>
    <xdr:to>
      <xdr:col>17</xdr:col>
      <xdr:colOff>934605</xdr:colOff>
      <xdr:row>39</xdr:row>
      <xdr:rowOff>150091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79712C-C579-6549-B94E-4C5DB1A20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137"/>
  <sheetViews>
    <sheetView tabSelected="1" topLeftCell="A103" zoomScale="110" zoomScaleNormal="110" workbookViewId="0">
      <selection activeCell="C130" sqref="C130"/>
    </sheetView>
  </sheetViews>
  <sheetFormatPr baseColWidth="10" defaultRowHeight="16"/>
  <cols>
    <col min="1" max="1" width="27.1640625" bestFit="1" customWidth="1"/>
    <col min="2" max="2" width="18.6640625" bestFit="1" customWidth="1"/>
    <col min="3" max="5" width="14.1640625" customWidth="1"/>
    <col min="6" max="6" width="21.33203125" customWidth="1"/>
    <col min="7" max="9" width="14.1640625" customWidth="1"/>
    <col min="10" max="10" width="26.1640625" bestFit="1" customWidth="1"/>
    <col min="11" max="1024" width="14.1640625" customWidth="1"/>
    <col min="1025" max="1025" width="10.83203125" customWidth="1"/>
  </cols>
  <sheetData>
    <row r="1" spans="1:1024" ht="18" customHeight="1">
      <c r="A1" s="55" t="s">
        <v>0</v>
      </c>
      <c r="B1" s="55"/>
      <c r="C1" s="55"/>
      <c r="D1" s="55"/>
      <c r="E1" s="1"/>
      <c r="F1" s="55" t="s">
        <v>19</v>
      </c>
      <c r="G1" s="55"/>
      <c r="H1" s="55"/>
      <c r="I1" s="55"/>
      <c r="J1" s="1"/>
      <c r="K1" s="1" t="s">
        <v>22</v>
      </c>
      <c r="L1" s="1" t="s">
        <v>23</v>
      </c>
      <c r="M1" s="1" t="s">
        <v>24</v>
      </c>
      <c r="N1" s="1" t="s">
        <v>21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/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/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/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/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  <c r="MC1" s="1"/>
      <c r="MD1" s="1"/>
      <c r="ME1" s="1"/>
      <c r="MF1" s="1"/>
      <c r="MG1" s="1"/>
      <c r="MH1" s="1"/>
      <c r="MI1" s="1"/>
      <c r="MJ1" s="1"/>
      <c r="MK1" s="1"/>
      <c r="ML1" s="1"/>
      <c r="MM1" s="1"/>
      <c r="MN1" s="1"/>
      <c r="MO1" s="1"/>
      <c r="MP1" s="1"/>
      <c r="MQ1" s="1"/>
      <c r="MR1" s="1"/>
      <c r="MS1" s="1"/>
      <c r="MT1" s="1"/>
      <c r="MU1" s="1"/>
      <c r="MV1" s="1"/>
      <c r="MW1" s="1"/>
      <c r="MX1" s="1"/>
      <c r="MY1" s="1"/>
      <c r="MZ1" s="1"/>
      <c r="NA1" s="1"/>
      <c r="NB1" s="1"/>
      <c r="NC1" s="1"/>
      <c r="ND1" s="1"/>
      <c r="NE1" s="1"/>
      <c r="NF1" s="1"/>
      <c r="NG1" s="1"/>
      <c r="NH1" s="1"/>
      <c r="NI1" s="1"/>
      <c r="NJ1" s="1"/>
      <c r="NK1" s="1"/>
      <c r="NL1" s="1"/>
      <c r="NM1" s="1"/>
      <c r="NN1" s="1"/>
      <c r="NO1" s="1"/>
      <c r="NP1" s="1"/>
      <c r="NQ1" s="1"/>
      <c r="NR1" s="1"/>
      <c r="NS1" s="1"/>
      <c r="NT1" s="1"/>
      <c r="NU1" s="1"/>
      <c r="NV1" s="1"/>
      <c r="NW1" s="1"/>
      <c r="NX1" s="1"/>
      <c r="NY1" s="1"/>
      <c r="NZ1" s="1"/>
      <c r="OA1" s="1"/>
      <c r="OB1" s="1"/>
      <c r="OC1" s="1"/>
      <c r="OD1" s="1"/>
      <c r="OE1" s="1"/>
      <c r="OF1" s="1"/>
      <c r="OG1" s="1"/>
      <c r="OH1" s="1"/>
      <c r="OI1" s="1"/>
      <c r="OJ1" s="1"/>
      <c r="OK1" s="1"/>
      <c r="OL1" s="1"/>
      <c r="OM1" s="1"/>
      <c r="ON1" s="1"/>
      <c r="OO1" s="1"/>
      <c r="OP1" s="1"/>
      <c r="OQ1" s="1"/>
      <c r="OR1" s="1"/>
      <c r="OS1" s="1"/>
      <c r="OT1" s="1"/>
      <c r="OU1" s="1"/>
      <c r="OV1" s="1"/>
      <c r="OW1" s="1"/>
      <c r="OX1" s="1"/>
      <c r="OY1" s="1"/>
      <c r="OZ1" s="1"/>
      <c r="PA1" s="1"/>
      <c r="PB1" s="1"/>
      <c r="PC1" s="1"/>
      <c r="PD1" s="1"/>
      <c r="PE1" s="1"/>
      <c r="PF1" s="1"/>
      <c r="PG1" s="1"/>
      <c r="PH1" s="1"/>
      <c r="PI1" s="1"/>
      <c r="PJ1" s="1"/>
      <c r="PK1" s="1"/>
      <c r="PL1" s="1"/>
      <c r="PM1" s="1"/>
      <c r="PN1" s="1"/>
      <c r="PO1" s="1"/>
      <c r="PP1" s="1"/>
      <c r="PQ1" s="1"/>
      <c r="PR1" s="1"/>
      <c r="PS1" s="1"/>
      <c r="PT1" s="1"/>
      <c r="PU1" s="1"/>
      <c r="PV1" s="1"/>
      <c r="PW1" s="1"/>
      <c r="PX1" s="1"/>
      <c r="PY1" s="1"/>
      <c r="PZ1" s="1"/>
      <c r="QA1" s="1"/>
      <c r="QB1" s="1"/>
      <c r="QC1" s="1"/>
      <c r="QD1" s="1"/>
      <c r="QE1" s="1"/>
      <c r="QF1" s="1"/>
      <c r="QG1" s="1"/>
      <c r="QH1" s="1"/>
      <c r="QI1" s="1"/>
      <c r="QJ1" s="1"/>
      <c r="QK1" s="1"/>
      <c r="QL1" s="1"/>
      <c r="QM1" s="1"/>
      <c r="QN1" s="1"/>
      <c r="QO1" s="1"/>
      <c r="QP1" s="1"/>
      <c r="QQ1" s="1"/>
      <c r="QR1" s="1"/>
      <c r="QS1" s="1"/>
      <c r="QT1" s="1"/>
      <c r="QU1" s="1"/>
      <c r="QV1" s="1"/>
      <c r="QW1" s="1"/>
      <c r="QX1" s="1"/>
      <c r="QY1" s="1"/>
      <c r="QZ1" s="1"/>
      <c r="RA1" s="1"/>
      <c r="RB1" s="1"/>
      <c r="RC1" s="1"/>
      <c r="RD1" s="1"/>
      <c r="RE1" s="1"/>
      <c r="RF1" s="1"/>
      <c r="RG1" s="1"/>
      <c r="RH1" s="1"/>
      <c r="RI1" s="1"/>
      <c r="RJ1" s="1"/>
      <c r="RK1" s="1"/>
      <c r="RL1" s="1"/>
      <c r="RM1" s="1"/>
      <c r="RN1" s="1"/>
      <c r="RO1" s="1"/>
      <c r="RP1" s="1"/>
      <c r="RQ1" s="1"/>
      <c r="RR1" s="1"/>
      <c r="RS1" s="1"/>
      <c r="RT1" s="1"/>
      <c r="RU1" s="1"/>
      <c r="RV1" s="1"/>
      <c r="RW1" s="1"/>
      <c r="RX1" s="1"/>
      <c r="RY1" s="1"/>
      <c r="RZ1" s="1"/>
      <c r="SA1" s="1"/>
      <c r="SB1" s="1"/>
      <c r="SC1" s="1"/>
      <c r="SD1" s="1"/>
      <c r="SE1" s="1"/>
      <c r="SF1" s="1"/>
      <c r="SG1" s="1"/>
      <c r="SH1" s="1"/>
      <c r="SI1" s="1"/>
      <c r="SJ1" s="1"/>
      <c r="SK1" s="1"/>
      <c r="SL1" s="1"/>
      <c r="SM1" s="1"/>
      <c r="SN1" s="1"/>
      <c r="SO1" s="1"/>
      <c r="SP1" s="1"/>
      <c r="SQ1" s="1"/>
      <c r="SR1" s="1"/>
      <c r="SS1" s="1"/>
      <c r="ST1" s="1"/>
      <c r="SU1" s="1"/>
      <c r="SV1" s="1"/>
      <c r="SW1" s="1"/>
      <c r="SX1" s="1"/>
      <c r="SY1" s="1"/>
      <c r="SZ1" s="1"/>
      <c r="TA1" s="1"/>
      <c r="TB1" s="1"/>
      <c r="TC1" s="1"/>
      <c r="TD1" s="1"/>
      <c r="TE1" s="1"/>
      <c r="TF1" s="1"/>
      <c r="TG1" s="1"/>
      <c r="TH1" s="1"/>
      <c r="TI1" s="1"/>
      <c r="TJ1" s="1"/>
      <c r="TK1" s="1"/>
      <c r="TL1" s="1"/>
      <c r="TM1" s="1"/>
      <c r="TN1" s="1"/>
      <c r="TO1" s="1"/>
      <c r="TP1" s="1"/>
      <c r="TQ1" s="1"/>
      <c r="TR1" s="1"/>
      <c r="TS1" s="1"/>
      <c r="TT1" s="1"/>
      <c r="TU1" s="1"/>
      <c r="TV1" s="1"/>
      <c r="TW1" s="1"/>
      <c r="TX1" s="1"/>
      <c r="TY1" s="1"/>
      <c r="TZ1" s="1"/>
      <c r="UA1" s="1"/>
      <c r="UB1" s="1"/>
      <c r="UC1" s="1"/>
      <c r="UD1" s="1"/>
      <c r="UE1" s="1"/>
      <c r="UF1" s="1"/>
      <c r="UG1" s="1"/>
      <c r="UH1" s="1"/>
      <c r="UI1" s="1"/>
      <c r="UJ1" s="1"/>
      <c r="UK1" s="1"/>
      <c r="UL1" s="1"/>
      <c r="UM1" s="1"/>
      <c r="UN1" s="1"/>
      <c r="UO1" s="1"/>
      <c r="UP1" s="1"/>
      <c r="UQ1" s="1"/>
      <c r="UR1" s="1"/>
      <c r="US1" s="1"/>
      <c r="UT1" s="1"/>
      <c r="UU1" s="1"/>
      <c r="UV1" s="1"/>
      <c r="UW1" s="1"/>
      <c r="UX1" s="1"/>
      <c r="UY1" s="1"/>
      <c r="UZ1" s="1"/>
      <c r="VA1" s="1"/>
      <c r="VB1" s="1"/>
      <c r="VC1" s="1"/>
      <c r="VD1" s="1"/>
      <c r="VE1" s="1"/>
      <c r="VF1" s="1"/>
      <c r="VG1" s="1"/>
      <c r="VH1" s="1"/>
      <c r="VI1" s="1"/>
      <c r="VJ1" s="1"/>
      <c r="VK1" s="1"/>
      <c r="VL1" s="1"/>
      <c r="VM1" s="1"/>
      <c r="VN1" s="1"/>
      <c r="VO1" s="1"/>
      <c r="VP1" s="1"/>
      <c r="VQ1" s="1"/>
      <c r="VR1" s="1"/>
      <c r="VS1" s="1"/>
      <c r="VT1" s="1"/>
      <c r="VU1" s="1"/>
      <c r="VV1" s="1"/>
      <c r="VW1" s="1"/>
      <c r="VX1" s="1"/>
      <c r="VY1" s="1"/>
      <c r="VZ1" s="1"/>
      <c r="WA1" s="1"/>
      <c r="WB1" s="1"/>
      <c r="WC1" s="1"/>
      <c r="WD1" s="1"/>
      <c r="WE1" s="1"/>
      <c r="WF1" s="1"/>
      <c r="WG1" s="1"/>
      <c r="WH1" s="1"/>
      <c r="WI1" s="1"/>
      <c r="WJ1" s="1"/>
      <c r="WK1" s="1"/>
      <c r="WL1" s="1"/>
      <c r="WM1" s="1"/>
      <c r="WN1" s="1"/>
      <c r="WO1" s="1"/>
      <c r="WP1" s="1"/>
      <c r="WQ1" s="1"/>
      <c r="WR1" s="1"/>
      <c r="WS1" s="1"/>
      <c r="WT1" s="1"/>
      <c r="WU1" s="1"/>
      <c r="WV1" s="1"/>
      <c r="WW1" s="1"/>
      <c r="WX1" s="1"/>
      <c r="WY1" s="1"/>
      <c r="WZ1" s="1"/>
      <c r="XA1" s="1"/>
      <c r="XB1" s="1"/>
      <c r="XC1" s="1"/>
      <c r="XD1" s="1"/>
      <c r="XE1" s="1"/>
      <c r="XF1" s="1"/>
      <c r="XG1" s="1"/>
      <c r="XH1" s="1"/>
      <c r="XI1" s="1"/>
      <c r="XJ1" s="1"/>
      <c r="XK1" s="1"/>
      <c r="XL1" s="1"/>
      <c r="XM1" s="1"/>
      <c r="XN1" s="1"/>
      <c r="XO1" s="1"/>
      <c r="XP1" s="1"/>
      <c r="XQ1" s="1"/>
      <c r="XR1" s="1"/>
      <c r="XS1" s="1"/>
      <c r="XT1" s="1"/>
      <c r="XU1" s="1"/>
      <c r="XV1" s="1"/>
      <c r="XW1" s="1"/>
      <c r="XX1" s="1"/>
      <c r="XY1" s="1"/>
      <c r="XZ1" s="1"/>
      <c r="YA1" s="1"/>
      <c r="YB1" s="1"/>
      <c r="YC1" s="1"/>
      <c r="YD1" s="1"/>
      <c r="YE1" s="1"/>
      <c r="YF1" s="1"/>
      <c r="YG1" s="1"/>
      <c r="YH1" s="1"/>
      <c r="YI1" s="1"/>
      <c r="YJ1" s="1"/>
      <c r="YK1" s="1"/>
      <c r="YL1" s="1"/>
      <c r="YM1" s="1"/>
      <c r="YN1" s="1"/>
      <c r="YO1" s="1"/>
      <c r="YP1" s="1"/>
      <c r="YQ1" s="1"/>
      <c r="YR1" s="1"/>
      <c r="YS1" s="1"/>
      <c r="YT1" s="1"/>
      <c r="YU1" s="1"/>
      <c r="YV1" s="1"/>
      <c r="YW1" s="1"/>
      <c r="YX1" s="1"/>
      <c r="YY1" s="1"/>
      <c r="YZ1" s="1"/>
      <c r="ZA1" s="1"/>
      <c r="ZB1" s="1"/>
      <c r="ZC1" s="1"/>
      <c r="ZD1" s="1"/>
      <c r="ZE1" s="1"/>
      <c r="ZF1" s="1"/>
      <c r="ZG1" s="1"/>
      <c r="ZH1" s="1"/>
      <c r="ZI1" s="1"/>
      <c r="ZJ1" s="1"/>
      <c r="ZK1" s="1"/>
      <c r="ZL1" s="1"/>
      <c r="ZM1" s="1"/>
      <c r="ZN1" s="1"/>
      <c r="ZO1" s="1"/>
      <c r="ZP1" s="1"/>
      <c r="ZQ1" s="1"/>
      <c r="ZR1" s="1"/>
      <c r="ZS1" s="1"/>
      <c r="ZT1" s="1"/>
      <c r="ZU1" s="1"/>
      <c r="ZV1" s="1"/>
      <c r="ZW1" s="1"/>
      <c r="ZX1" s="1"/>
      <c r="ZY1" s="1"/>
      <c r="ZZ1" s="1"/>
      <c r="AAA1" s="1"/>
      <c r="AAB1" s="1"/>
      <c r="AAC1" s="1"/>
      <c r="AAD1" s="1"/>
      <c r="AAE1" s="1"/>
      <c r="AAF1" s="1"/>
      <c r="AAG1" s="1"/>
      <c r="AAH1" s="1"/>
      <c r="AAI1" s="1"/>
      <c r="AAJ1" s="1"/>
      <c r="AAK1" s="1"/>
      <c r="AAL1" s="1"/>
      <c r="AAM1" s="1"/>
      <c r="AAN1" s="1"/>
      <c r="AAO1" s="1"/>
      <c r="AAP1" s="1"/>
      <c r="AAQ1" s="1"/>
      <c r="AAR1" s="1"/>
      <c r="AAS1" s="1"/>
      <c r="AAT1" s="1"/>
      <c r="AAU1" s="1"/>
      <c r="AAV1" s="1"/>
      <c r="AAW1" s="1"/>
      <c r="AAX1" s="1"/>
      <c r="AAY1" s="1"/>
      <c r="AAZ1" s="1"/>
      <c r="ABA1" s="1"/>
      <c r="ABB1" s="1"/>
      <c r="ABC1" s="1"/>
      <c r="ABD1" s="1"/>
      <c r="ABE1" s="1"/>
      <c r="ABF1" s="1"/>
      <c r="ABG1" s="1"/>
      <c r="ABH1" s="1"/>
      <c r="ABI1" s="1"/>
      <c r="ABJ1" s="1"/>
      <c r="ABK1" s="1"/>
      <c r="ABL1" s="1"/>
      <c r="ABM1" s="1"/>
      <c r="ABN1" s="1"/>
      <c r="ABO1" s="1"/>
      <c r="ABP1" s="1"/>
      <c r="ABQ1" s="1"/>
      <c r="ABR1" s="1"/>
      <c r="ABS1" s="1"/>
      <c r="ABT1" s="1"/>
      <c r="ABU1" s="1"/>
      <c r="ABV1" s="1"/>
      <c r="ABW1" s="1"/>
      <c r="ABX1" s="1"/>
      <c r="ABY1" s="1"/>
      <c r="ABZ1" s="1"/>
      <c r="ACA1" s="1"/>
      <c r="ACB1" s="1"/>
      <c r="ACC1" s="1"/>
      <c r="ACD1" s="1"/>
      <c r="ACE1" s="1"/>
      <c r="ACF1" s="1"/>
      <c r="ACG1" s="1"/>
      <c r="ACH1" s="1"/>
      <c r="ACI1" s="1"/>
      <c r="ACJ1" s="1"/>
      <c r="ACK1" s="1"/>
      <c r="ACL1" s="1"/>
      <c r="ACM1" s="1"/>
      <c r="ACN1" s="1"/>
      <c r="ACO1" s="1"/>
      <c r="ACP1" s="1"/>
      <c r="ACQ1" s="1"/>
      <c r="ACR1" s="1"/>
      <c r="ACS1" s="1"/>
      <c r="ACT1" s="1"/>
      <c r="ACU1" s="1"/>
      <c r="ACV1" s="1"/>
      <c r="ACW1" s="1"/>
      <c r="ACX1" s="1"/>
      <c r="ACY1" s="1"/>
      <c r="ACZ1" s="1"/>
      <c r="ADA1" s="1"/>
      <c r="ADB1" s="1"/>
      <c r="ADC1" s="1"/>
      <c r="ADD1" s="1"/>
      <c r="ADE1" s="1"/>
      <c r="ADF1" s="1"/>
      <c r="ADG1" s="1"/>
      <c r="ADH1" s="1"/>
      <c r="ADI1" s="1"/>
      <c r="ADJ1" s="1"/>
      <c r="ADK1" s="1"/>
      <c r="ADL1" s="1"/>
      <c r="ADM1" s="1"/>
      <c r="ADN1" s="1"/>
      <c r="ADO1" s="1"/>
      <c r="ADP1" s="1"/>
      <c r="ADQ1" s="1"/>
      <c r="ADR1" s="1"/>
      <c r="ADS1" s="1"/>
      <c r="ADT1" s="1"/>
      <c r="ADU1" s="1"/>
      <c r="ADV1" s="1"/>
      <c r="ADW1" s="1"/>
      <c r="ADX1" s="1"/>
      <c r="ADY1" s="1"/>
      <c r="ADZ1" s="1"/>
      <c r="AEA1" s="1"/>
      <c r="AEB1" s="1"/>
      <c r="AEC1" s="1"/>
      <c r="AED1" s="1"/>
      <c r="AEE1" s="1"/>
      <c r="AEF1" s="1"/>
      <c r="AEG1" s="1"/>
      <c r="AEH1" s="1"/>
      <c r="AEI1" s="1"/>
      <c r="AEJ1" s="1"/>
      <c r="AEK1" s="1"/>
      <c r="AEL1" s="1"/>
      <c r="AEM1" s="1"/>
      <c r="AEN1" s="1"/>
      <c r="AEO1" s="1"/>
      <c r="AEP1" s="1"/>
      <c r="AEQ1" s="1"/>
      <c r="AER1" s="1"/>
      <c r="AES1" s="1"/>
      <c r="AET1" s="1"/>
      <c r="AEU1" s="1"/>
      <c r="AEV1" s="1"/>
      <c r="AEW1" s="1"/>
      <c r="AEX1" s="1"/>
      <c r="AEY1" s="1"/>
      <c r="AEZ1" s="1"/>
      <c r="AFA1" s="1"/>
      <c r="AFB1" s="1"/>
      <c r="AFC1" s="1"/>
      <c r="AFD1" s="1"/>
      <c r="AFE1" s="1"/>
      <c r="AFF1" s="1"/>
      <c r="AFG1" s="1"/>
      <c r="AFH1" s="1"/>
      <c r="AFI1" s="1"/>
      <c r="AFJ1" s="1"/>
      <c r="AFK1" s="1"/>
      <c r="AFL1" s="1"/>
      <c r="AFM1" s="1"/>
      <c r="AFN1" s="1"/>
      <c r="AFO1" s="1"/>
      <c r="AFP1" s="1"/>
      <c r="AFQ1" s="1"/>
      <c r="AFR1" s="1"/>
      <c r="AFS1" s="1"/>
      <c r="AFT1" s="1"/>
      <c r="AFU1" s="1"/>
      <c r="AFV1" s="1"/>
      <c r="AFW1" s="1"/>
      <c r="AFX1" s="1"/>
      <c r="AFY1" s="1"/>
      <c r="AFZ1" s="1"/>
      <c r="AGA1" s="1"/>
      <c r="AGB1" s="1"/>
      <c r="AGC1" s="1"/>
      <c r="AGD1" s="1"/>
      <c r="AGE1" s="1"/>
      <c r="AGF1" s="1"/>
      <c r="AGG1" s="1"/>
      <c r="AGH1" s="1"/>
      <c r="AGI1" s="1"/>
      <c r="AGJ1" s="1"/>
      <c r="AGK1" s="1"/>
      <c r="AGL1" s="1"/>
      <c r="AGM1" s="1"/>
      <c r="AGN1" s="1"/>
      <c r="AGO1" s="1"/>
      <c r="AGP1" s="1"/>
      <c r="AGQ1" s="1"/>
      <c r="AGR1" s="1"/>
      <c r="AGS1" s="1"/>
      <c r="AGT1" s="1"/>
      <c r="AGU1" s="1"/>
      <c r="AGV1" s="1"/>
      <c r="AGW1" s="1"/>
      <c r="AGX1" s="1"/>
      <c r="AGY1" s="1"/>
      <c r="AGZ1" s="1"/>
      <c r="AHA1" s="1"/>
      <c r="AHB1" s="1"/>
      <c r="AHC1" s="1"/>
      <c r="AHD1" s="1"/>
      <c r="AHE1" s="1"/>
      <c r="AHF1" s="1"/>
      <c r="AHG1" s="1"/>
      <c r="AHH1" s="1"/>
      <c r="AHI1" s="1"/>
      <c r="AHJ1" s="1"/>
      <c r="AHK1" s="1"/>
      <c r="AHL1" s="1"/>
      <c r="AHM1" s="1"/>
      <c r="AHN1" s="1"/>
      <c r="AHO1" s="1"/>
      <c r="AHP1" s="1"/>
      <c r="AHQ1" s="1"/>
      <c r="AHR1" s="1"/>
      <c r="AHS1" s="1"/>
      <c r="AHT1" s="1"/>
      <c r="AHU1" s="1"/>
      <c r="AHV1" s="1"/>
      <c r="AHW1" s="1"/>
      <c r="AHX1" s="1"/>
      <c r="AHY1" s="1"/>
      <c r="AHZ1" s="1"/>
      <c r="AIA1" s="1"/>
      <c r="AIB1" s="1"/>
      <c r="AIC1" s="1"/>
      <c r="AID1" s="1"/>
      <c r="AIE1" s="1"/>
      <c r="AIF1" s="1"/>
      <c r="AIG1" s="1"/>
      <c r="AIH1" s="1"/>
      <c r="AII1" s="1"/>
      <c r="AIJ1" s="1"/>
      <c r="AIK1" s="1"/>
      <c r="AIL1" s="1"/>
      <c r="AIM1" s="1"/>
      <c r="AIN1" s="1"/>
      <c r="AIO1" s="1"/>
      <c r="AIP1" s="1"/>
      <c r="AIQ1" s="1"/>
      <c r="AIR1" s="1"/>
      <c r="AIS1" s="1"/>
      <c r="AIT1" s="1"/>
      <c r="AIU1" s="1"/>
      <c r="AIV1" s="1"/>
      <c r="AIW1" s="1"/>
      <c r="AIX1" s="1"/>
      <c r="AIY1" s="1"/>
      <c r="AIZ1" s="1"/>
      <c r="AJA1" s="1"/>
      <c r="AJB1" s="1"/>
      <c r="AJC1" s="1"/>
      <c r="AJD1" s="1"/>
      <c r="AJE1" s="1"/>
      <c r="AJF1" s="1"/>
      <c r="AJG1" s="1"/>
      <c r="AJH1" s="1"/>
      <c r="AJI1" s="1"/>
      <c r="AJJ1" s="1"/>
      <c r="AJK1" s="1"/>
      <c r="AJL1" s="1"/>
      <c r="AJM1" s="1"/>
      <c r="AJN1" s="1"/>
      <c r="AJO1" s="1"/>
      <c r="AJP1" s="1"/>
      <c r="AJQ1" s="1"/>
      <c r="AJR1" s="1"/>
      <c r="AJS1" s="1"/>
      <c r="AJT1" s="1"/>
      <c r="AJU1" s="1"/>
      <c r="AJV1" s="1"/>
      <c r="AJW1" s="1"/>
      <c r="AJX1" s="1"/>
      <c r="AJY1" s="1"/>
      <c r="AJZ1" s="1"/>
      <c r="AKA1" s="1"/>
      <c r="AKB1" s="1"/>
      <c r="AKC1" s="1"/>
      <c r="AKD1" s="1"/>
      <c r="AKE1" s="1"/>
      <c r="AKF1" s="1"/>
      <c r="AKG1" s="1"/>
      <c r="AKH1" s="1"/>
      <c r="AKI1" s="1"/>
      <c r="AKJ1" s="1"/>
      <c r="AKK1" s="1"/>
      <c r="AKL1" s="1"/>
      <c r="AKM1" s="1"/>
      <c r="AKN1" s="1"/>
      <c r="AKO1" s="1"/>
      <c r="AKP1" s="1"/>
      <c r="AKQ1" s="1"/>
      <c r="AKR1" s="1"/>
      <c r="AKS1" s="1"/>
      <c r="AKT1" s="1"/>
      <c r="AKU1" s="1"/>
      <c r="AKV1" s="1"/>
      <c r="AKW1" s="1"/>
      <c r="AKX1" s="1"/>
      <c r="AKY1" s="1"/>
      <c r="AKZ1" s="1"/>
      <c r="ALA1" s="1"/>
      <c r="ALB1" s="1"/>
      <c r="ALC1" s="1"/>
      <c r="ALD1" s="1"/>
      <c r="ALE1" s="1"/>
      <c r="ALF1" s="1"/>
      <c r="ALG1" s="1"/>
      <c r="ALH1" s="1"/>
      <c r="ALI1" s="1"/>
      <c r="ALJ1" s="1"/>
      <c r="ALK1" s="1"/>
      <c r="ALL1" s="1"/>
      <c r="ALM1" s="1"/>
      <c r="ALN1" s="1"/>
      <c r="ALO1" s="1"/>
      <c r="ALP1" s="1"/>
      <c r="ALQ1" s="1"/>
      <c r="ALR1" s="1"/>
      <c r="ALS1" s="1"/>
      <c r="ALT1" s="1"/>
      <c r="ALU1" s="1"/>
      <c r="ALV1" s="1"/>
      <c r="ALW1" s="1"/>
      <c r="ALX1" s="1"/>
      <c r="ALY1" s="1"/>
      <c r="ALZ1" s="1"/>
      <c r="AMA1" s="1"/>
      <c r="AMB1" s="1"/>
      <c r="AMC1" s="1"/>
      <c r="AMD1" s="1"/>
      <c r="AME1" s="1"/>
      <c r="AMF1" s="1"/>
      <c r="AMG1" s="1"/>
      <c r="AMH1" s="1"/>
      <c r="AMI1" s="1"/>
      <c r="AMJ1" s="1"/>
    </row>
    <row r="2" spans="1:1024">
      <c r="A2" t="s">
        <v>1</v>
      </c>
      <c r="B2">
        <v>66.694275000000005</v>
      </c>
      <c r="C2">
        <v>61.794047999999997</v>
      </c>
      <c r="D2">
        <v>56.704200999999998</v>
      </c>
      <c r="F2" s="2"/>
      <c r="G2" s="2" t="s">
        <v>22</v>
      </c>
      <c r="H2" s="2" t="s">
        <v>23</v>
      </c>
      <c r="I2" s="2" t="s">
        <v>24</v>
      </c>
      <c r="J2" t="s">
        <v>29</v>
      </c>
      <c r="K2">
        <f t="shared" ref="K2:M5" si="0">ABS(G3-G10)</f>
        <v>6.3155820000000062</v>
      </c>
      <c r="L2">
        <f t="shared" si="0"/>
        <v>1.1937870000000004</v>
      </c>
      <c r="M2">
        <f t="shared" si="0"/>
        <v>2.0498660000000015</v>
      </c>
      <c r="N2">
        <f>AVERAGE(K2:M2)</f>
        <v>3.1864116666666695</v>
      </c>
    </row>
    <row r="3" spans="1:1024">
      <c r="A3" t="s">
        <v>2</v>
      </c>
      <c r="B3">
        <v>29.60228</v>
      </c>
      <c r="C3">
        <v>26.724779000000002</v>
      </c>
      <c r="D3">
        <v>24.898244999999999</v>
      </c>
      <c r="F3" t="s">
        <v>1</v>
      </c>
      <c r="G3">
        <v>71.210792999999995</v>
      </c>
      <c r="H3">
        <v>66.723724000000004</v>
      </c>
      <c r="I3">
        <v>59.916339999999998</v>
      </c>
      <c r="J3" t="s">
        <v>26</v>
      </c>
      <c r="K3">
        <f t="shared" si="0"/>
        <v>5.0349399999999989</v>
      </c>
      <c r="L3">
        <f t="shared" si="0"/>
        <v>1.8520729999999972</v>
      </c>
      <c r="M3">
        <f t="shared" si="0"/>
        <v>2.0590960000000003</v>
      </c>
      <c r="N3">
        <f t="shared" ref="N3:N5" si="1">AVERAGE(K3:M3)</f>
        <v>2.982036333333332</v>
      </c>
    </row>
    <row r="4" spans="1:1024">
      <c r="A4" t="s">
        <v>3</v>
      </c>
      <c r="B4">
        <v>83.221396999999996</v>
      </c>
      <c r="C4">
        <v>71.564475999999999</v>
      </c>
      <c r="D4">
        <v>65.815987000000007</v>
      </c>
      <c r="F4" t="s">
        <v>2</v>
      </c>
      <c r="G4">
        <v>29.040751</v>
      </c>
      <c r="H4">
        <v>27.085087000000001</v>
      </c>
      <c r="I4">
        <v>24.349730999999998</v>
      </c>
      <c r="J4" t="s">
        <v>27</v>
      </c>
      <c r="K4">
        <f t="shared" si="0"/>
        <v>5.0306319999999971</v>
      </c>
      <c r="L4">
        <f t="shared" si="0"/>
        <v>3.4164889999999986</v>
      </c>
      <c r="M4">
        <f t="shared" si="0"/>
        <v>3.3086089999999899</v>
      </c>
      <c r="N4">
        <f t="shared" si="1"/>
        <v>3.9185766666666617</v>
      </c>
    </row>
    <row r="5" spans="1:1024">
      <c r="A5" t="s">
        <v>4</v>
      </c>
      <c r="B5">
        <v>44.193409000000003</v>
      </c>
      <c r="C5">
        <v>37.166308999999998</v>
      </c>
      <c r="D5">
        <v>34.312012000000003</v>
      </c>
      <c r="F5" t="s">
        <v>3</v>
      </c>
      <c r="G5">
        <v>83.221396999999996</v>
      </c>
      <c r="H5">
        <v>71.564475999999999</v>
      </c>
      <c r="I5">
        <v>65.815987000000007</v>
      </c>
      <c r="J5" t="s">
        <v>28</v>
      </c>
      <c r="K5">
        <f t="shared" si="0"/>
        <v>23.405956000000003</v>
      </c>
      <c r="L5">
        <f t="shared" si="0"/>
        <v>12.298317000000004</v>
      </c>
      <c r="M5">
        <f t="shared" si="0"/>
        <v>10.441870999999999</v>
      </c>
      <c r="N5">
        <f t="shared" si="1"/>
        <v>15.382048000000003</v>
      </c>
    </row>
    <row r="6" spans="1:1024" ht="14.25" customHeight="1">
      <c r="F6" t="s">
        <v>4</v>
      </c>
      <c r="G6">
        <v>44.193409000000003</v>
      </c>
      <c r="H6">
        <v>37.166308999999998</v>
      </c>
      <c r="I6">
        <v>34.312012000000003</v>
      </c>
    </row>
    <row r="7" spans="1:1024" ht="18" customHeight="1">
      <c r="A7" s="55" t="s">
        <v>5</v>
      </c>
      <c r="B7" s="55"/>
      <c r="C7" s="55"/>
      <c r="D7" s="55"/>
      <c r="E7" s="3"/>
      <c r="J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  <c r="IP7" s="3"/>
      <c r="IQ7" s="3"/>
      <c r="IR7" s="3"/>
      <c r="IS7" s="3"/>
      <c r="IT7" s="3"/>
      <c r="IU7" s="3"/>
      <c r="IV7" s="3"/>
      <c r="IW7" s="3"/>
      <c r="IX7" s="3"/>
      <c r="IY7" s="3"/>
      <c r="IZ7" s="3"/>
      <c r="JA7" s="3"/>
      <c r="JB7" s="3"/>
      <c r="JC7" s="3"/>
      <c r="JD7" s="3"/>
      <c r="JE7" s="3"/>
      <c r="JF7" s="3"/>
      <c r="JG7" s="3"/>
      <c r="JH7" s="3"/>
      <c r="JI7" s="3"/>
      <c r="JJ7" s="3"/>
      <c r="JK7" s="3"/>
      <c r="JL7" s="3"/>
      <c r="JM7" s="3"/>
      <c r="JN7" s="3"/>
      <c r="JO7" s="3"/>
      <c r="JP7" s="3"/>
      <c r="JQ7" s="3"/>
      <c r="JR7" s="3"/>
      <c r="JS7" s="3"/>
      <c r="JT7" s="3"/>
      <c r="JU7" s="3"/>
      <c r="JV7" s="3"/>
      <c r="JW7" s="3"/>
      <c r="JX7" s="3"/>
      <c r="JY7" s="3"/>
      <c r="JZ7" s="3"/>
      <c r="KA7" s="3"/>
      <c r="KB7" s="3"/>
      <c r="KC7" s="3"/>
      <c r="KD7" s="3"/>
      <c r="KE7" s="3"/>
      <c r="KF7" s="3"/>
      <c r="KG7" s="3"/>
      <c r="KH7" s="3"/>
      <c r="KI7" s="3"/>
      <c r="KJ7" s="3"/>
      <c r="KK7" s="3"/>
      <c r="KL7" s="3"/>
      <c r="KM7" s="3"/>
      <c r="KN7" s="3"/>
      <c r="KO7" s="3"/>
      <c r="KP7" s="3"/>
      <c r="KQ7" s="3"/>
      <c r="KR7" s="3"/>
      <c r="KS7" s="3"/>
      <c r="KT7" s="3"/>
      <c r="KU7" s="3"/>
      <c r="KV7" s="3"/>
      <c r="KW7" s="3"/>
      <c r="KX7" s="3"/>
      <c r="KY7" s="3"/>
      <c r="KZ7" s="3"/>
      <c r="LA7" s="3"/>
      <c r="LB7" s="3"/>
      <c r="LC7" s="3"/>
      <c r="LD7" s="3"/>
      <c r="LE7" s="3"/>
      <c r="LF7" s="3"/>
      <c r="LG7" s="3"/>
      <c r="LH7" s="3"/>
      <c r="LI7" s="3"/>
      <c r="LJ7" s="3"/>
      <c r="LK7" s="3"/>
      <c r="LL7" s="3"/>
      <c r="LM7" s="3"/>
      <c r="LN7" s="3"/>
      <c r="LO7" s="3"/>
      <c r="LP7" s="3"/>
      <c r="LQ7" s="3"/>
      <c r="LR7" s="3"/>
      <c r="LS7" s="3"/>
      <c r="LT7" s="3"/>
      <c r="LU7" s="3"/>
      <c r="LV7" s="3"/>
      <c r="LW7" s="3"/>
      <c r="LX7" s="3"/>
      <c r="LY7" s="3"/>
      <c r="LZ7" s="3"/>
      <c r="MA7" s="3"/>
      <c r="MB7" s="3"/>
      <c r="MC7" s="3"/>
      <c r="MD7" s="3"/>
      <c r="ME7" s="3"/>
      <c r="MF7" s="3"/>
      <c r="MG7" s="3"/>
      <c r="MH7" s="3"/>
      <c r="MI7" s="3"/>
      <c r="MJ7" s="3"/>
      <c r="MK7" s="3"/>
      <c r="ML7" s="3"/>
      <c r="MM7" s="3"/>
      <c r="MN7" s="3"/>
      <c r="MO7" s="3"/>
      <c r="MP7" s="3"/>
      <c r="MQ7" s="3"/>
      <c r="MR7" s="3"/>
      <c r="MS7" s="3"/>
      <c r="MT7" s="3"/>
      <c r="MU7" s="3"/>
      <c r="MV7" s="3"/>
      <c r="MW7" s="3"/>
      <c r="MX7" s="3"/>
      <c r="MY7" s="3"/>
      <c r="MZ7" s="3"/>
      <c r="NA7" s="3"/>
      <c r="NB7" s="3"/>
      <c r="NC7" s="3"/>
      <c r="ND7" s="3"/>
      <c r="NE7" s="3"/>
      <c r="NF7" s="3"/>
      <c r="NG7" s="3"/>
      <c r="NH7" s="3"/>
      <c r="NI7" s="3"/>
      <c r="NJ7" s="3"/>
      <c r="NK7" s="3"/>
      <c r="NL7" s="3"/>
      <c r="NM7" s="3"/>
      <c r="NN7" s="3"/>
      <c r="NO7" s="3"/>
      <c r="NP7" s="3"/>
      <c r="NQ7" s="3"/>
      <c r="NR7" s="3"/>
      <c r="NS7" s="3"/>
      <c r="NT7" s="3"/>
      <c r="NU7" s="3"/>
      <c r="NV7" s="3"/>
      <c r="NW7" s="3"/>
      <c r="NX7" s="3"/>
      <c r="NY7" s="3"/>
      <c r="NZ7" s="3"/>
      <c r="OA7" s="3"/>
      <c r="OB7" s="3"/>
      <c r="OC7" s="3"/>
      <c r="OD7" s="3"/>
      <c r="OE7" s="3"/>
      <c r="OF7" s="3"/>
      <c r="OG7" s="3"/>
      <c r="OH7" s="3"/>
      <c r="OI7" s="3"/>
      <c r="OJ7" s="3"/>
      <c r="OK7" s="3"/>
      <c r="OL7" s="3"/>
      <c r="OM7" s="3"/>
      <c r="ON7" s="3"/>
      <c r="OO7" s="3"/>
      <c r="OP7" s="3"/>
      <c r="OQ7" s="3"/>
      <c r="OR7" s="3"/>
      <c r="OS7" s="3"/>
      <c r="OT7" s="3"/>
      <c r="OU7" s="3"/>
      <c r="OV7" s="3"/>
      <c r="OW7" s="3"/>
      <c r="OX7" s="3"/>
      <c r="OY7" s="3"/>
      <c r="OZ7" s="3"/>
      <c r="PA7" s="3"/>
      <c r="PB7" s="3"/>
      <c r="PC7" s="3"/>
      <c r="PD7" s="3"/>
      <c r="PE7" s="3"/>
      <c r="PF7" s="3"/>
      <c r="PG7" s="3"/>
      <c r="PH7" s="3"/>
      <c r="PI7" s="3"/>
      <c r="PJ7" s="3"/>
      <c r="PK7" s="3"/>
      <c r="PL7" s="3"/>
      <c r="PM7" s="3"/>
      <c r="PN7" s="3"/>
      <c r="PO7" s="3"/>
      <c r="PP7" s="3"/>
      <c r="PQ7" s="3"/>
      <c r="PR7" s="3"/>
      <c r="PS7" s="3"/>
      <c r="PT7" s="3"/>
      <c r="PU7" s="3"/>
      <c r="PV7" s="3"/>
      <c r="PW7" s="3"/>
      <c r="PX7" s="3"/>
      <c r="PY7" s="3"/>
      <c r="PZ7" s="3"/>
      <c r="QA7" s="3"/>
      <c r="QB7" s="3"/>
      <c r="QC7" s="3"/>
      <c r="QD7" s="3"/>
      <c r="QE7" s="3"/>
      <c r="QF7" s="3"/>
      <c r="QG7" s="3"/>
      <c r="QH7" s="3"/>
      <c r="QI7" s="3"/>
      <c r="QJ7" s="3"/>
      <c r="QK7" s="3"/>
      <c r="QL7" s="3"/>
      <c r="QM7" s="3"/>
      <c r="QN7" s="3"/>
      <c r="QO7" s="3"/>
      <c r="QP7" s="3"/>
      <c r="QQ7" s="3"/>
      <c r="QR7" s="3"/>
      <c r="QS7" s="3"/>
      <c r="QT7" s="3"/>
      <c r="QU7" s="3"/>
      <c r="QV7" s="3"/>
      <c r="QW7" s="3"/>
      <c r="QX7" s="3"/>
      <c r="QY7" s="3"/>
      <c r="QZ7" s="3"/>
      <c r="RA7" s="3"/>
      <c r="RB7" s="3"/>
      <c r="RC7" s="3"/>
      <c r="RD7" s="3"/>
      <c r="RE7" s="3"/>
      <c r="RF7" s="3"/>
      <c r="RG7" s="3"/>
      <c r="RH7" s="3"/>
      <c r="RI7" s="3"/>
      <c r="RJ7" s="3"/>
      <c r="RK7" s="3"/>
      <c r="RL7" s="3"/>
      <c r="RM7" s="3"/>
      <c r="RN7" s="3"/>
      <c r="RO7" s="3"/>
      <c r="RP7" s="3"/>
      <c r="RQ7" s="3"/>
      <c r="RR7" s="3"/>
      <c r="RS7" s="3"/>
      <c r="RT7" s="3"/>
      <c r="RU7" s="3"/>
      <c r="RV7" s="3"/>
      <c r="RW7" s="3"/>
      <c r="RX7" s="3"/>
      <c r="RY7" s="3"/>
      <c r="RZ7" s="3"/>
      <c r="SA7" s="3"/>
      <c r="SB7" s="3"/>
      <c r="SC7" s="3"/>
      <c r="SD7" s="3"/>
      <c r="SE7" s="3"/>
      <c r="SF7" s="3"/>
      <c r="SG7" s="3"/>
      <c r="SH7" s="3"/>
      <c r="SI7" s="3"/>
      <c r="SJ7" s="3"/>
      <c r="SK7" s="3"/>
      <c r="SL7" s="3"/>
      <c r="SM7" s="3"/>
      <c r="SN7" s="3"/>
      <c r="SO7" s="3"/>
      <c r="SP7" s="3"/>
      <c r="SQ7" s="3"/>
      <c r="SR7" s="3"/>
      <c r="SS7" s="3"/>
      <c r="ST7" s="3"/>
      <c r="SU7" s="3"/>
      <c r="SV7" s="3"/>
      <c r="SW7" s="3"/>
      <c r="SX7" s="3"/>
      <c r="SY7" s="3"/>
      <c r="SZ7" s="3"/>
      <c r="TA7" s="3"/>
      <c r="TB7" s="3"/>
      <c r="TC7" s="3"/>
      <c r="TD7" s="3"/>
      <c r="TE7" s="3"/>
      <c r="TF7" s="3"/>
      <c r="TG7" s="3"/>
      <c r="TH7" s="3"/>
      <c r="TI7" s="3"/>
      <c r="TJ7" s="3"/>
      <c r="TK7" s="3"/>
      <c r="TL7" s="3"/>
      <c r="TM7" s="3"/>
      <c r="TN7" s="3"/>
      <c r="TO7" s="3"/>
      <c r="TP7" s="3"/>
      <c r="TQ7" s="3"/>
      <c r="TR7" s="3"/>
      <c r="TS7" s="3"/>
      <c r="TT7" s="3"/>
      <c r="TU7" s="3"/>
      <c r="TV7" s="3"/>
      <c r="TW7" s="3"/>
      <c r="TX7" s="3"/>
      <c r="TY7" s="3"/>
      <c r="TZ7" s="3"/>
      <c r="UA7" s="3"/>
      <c r="UB7" s="3"/>
      <c r="UC7" s="3"/>
      <c r="UD7" s="3"/>
      <c r="UE7" s="3"/>
      <c r="UF7" s="3"/>
      <c r="UG7" s="3"/>
      <c r="UH7" s="3"/>
      <c r="UI7" s="3"/>
      <c r="UJ7" s="3"/>
      <c r="UK7" s="3"/>
      <c r="UL7" s="3"/>
      <c r="UM7" s="3"/>
      <c r="UN7" s="3"/>
      <c r="UO7" s="3"/>
      <c r="UP7" s="3"/>
      <c r="UQ7" s="3"/>
      <c r="UR7" s="3"/>
      <c r="US7" s="3"/>
      <c r="UT7" s="3"/>
      <c r="UU7" s="3"/>
      <c r="UV7" s="3"/>
      <c r="UW7" s="3"/>
      <c r="UX7" s="3"/>
      <c r="UY7" s="3"/>
      <c r="UZ7" s="3"/>
      <c r="VA7" s="3"/>
      <c r="VB7" s="3"/>
      <c r="VC7" s="3"/>
      <c r="VD7" s="3"/>
      <c r="VE7" s="3"/>
      <c r="VF7" s="3"/>
      <c r="VG7" s="3"/>
      <c r="VH7" s="3"/>
      <c r="VI7" s="3"/>
      <c r="VJ7" s="3"/>
      <c r="VK7" s="3"/>
      <c r="VL7" s="3"/>
      <c r="VM7" s="3"/>
      <c r="VN7" s="3"/>
      <c r="VO7" s="3"/>
      <c r="VP7" s="3"/>
      <c r="VQ7" s="3"/>
      <c r="VR7" s="3"/>
      <c r="VS7" s="3"/>
      <c r="VT7" s="3"/>
      <c r="VU7" s="3"/>
      <c r="VV7" s="3"/>
      <c r="VW7" s="3"/>
      <c r="VX7" s="3"/>
      <c r="VY7" s="3"/>
      <c r="VZ7" s="3"/>
      <c r="WA7" s="3"/>
      <c r="WB7" s="3"/>
      <c r="WC7" s="3"/>
      <c r="WD7" s="3"/>
      <c r="WE7" s="3"/>
      <c r="WF7" s="3"/>
      <c r="WG7" s="3"/>
      <c r="WH7" s="3"/>
      <c r="WI7" s="3"/>
      <c r="WJ7" s="3"/>
      <c r="WK7" s="3"/>
      <c r="WL7" s="3"/>
      <c r="WM7" s="3"/>
      <c r="WN7" s="3"/>
      <c r="WO7" s="3"/>
      <c r="WP7" s="3"/>
      <c r="WQ7" s="3"/>
      <c r="WR7" s="3"/>
      <c r="WS7" s="3"/>
      <c r="WT7" s="3"/>
      <c r="WU7" s="3"/>
      <c r="WV7" s="3"/>
      <c r="WW7" s="3"/>
      <c r="WX7" s="3"/>
      <c r="WY7" s="3"/>
      <c r="WZ7" s="3"/>
      <c r="XA7" s="3"/>
      <c r="XB7" s="3"/>
      <c r="XC7" s="3"/>
      <c r="XD7" s="3"/>
      <c r="XE7" s="3"/>
      <c r="XF7" s="3"/>
      <c r="XG7" s="3"/>
      <c r="XH7" s="3"/>
      <c r="XI7" s="3"/>
      <c r="XJ7" s="3"/>
      <c r="XK7" s="3"/>
      <c r="XL7" s="3"/>
      <c r="XM7" s="3"/>
      <c r="XN7" s="3"/>
      <c r="XO7" s="3"/>
      <c r="XP7" s="3"/>
      <c r="XQ7" s="3"/>
      <c r="XR7" s="3"/>
      <c r="XS7" s="3"/>
      <c r="XT7" s="3"/>
      <c r="XU7" s="3"/>
      <c r="XV7" s="3"/>
      <c r="XW7" s="3"/>
      <c r="XX7" s="3"/>
      <c r="XY7" s="3"/>
      <c r="XZ7" s="3"/>
      <c r="YA7" s="3"/>
      <c r="YB7" s="3"/>
      <c r="YC7" s="3"/>
      <c r="YD7" s="3"/>
      <c r="YE7" s="3"/>
      <c r="YF7" s="3"/>
      <c r="YG7" s="3"/>
      <c r="YH7" s="3"/>
      <c r="YI7" s="3"/>
      <c r="YJ7" s="3"/>
      <c r="YK7" s="3"/>
      <c r="YL7" s="3"/>
      <c r="YM7" s="3"/>
      <c r="YN7" s="3"/>
      <c r="YO7" s="3"/>
      <c r="YP7" s="3"/>
      <c r="YQ7" s="3"/>
      <c r="YR7" s="3"/>
      <c r="YS7" s="3"/>
      <c r="YT7" s="3"/>
      <c r="YU7" s="3"/>
      <c r="YV7" s="3"/>
      <c r="YW7" s="3"/>
      <c r="YX7" s="3"/>
      <c r="YY7" s="3"/>
      <c r="YZ7" s="3"/>
      <c r="ZA7" s="3"/>
      <c r="ZB7" s="3"/>
      <c r="ZC7" s="3"/>
      <c r="ZD7" s="3"/>
      <c r="ZE7" s="3"/>
      <c r="ZF7" s="3"/>
      <c r="ZG7" s="3"/>
      <c r="ZH7" s="3"/>
      <c r="ZI7" s="3"/>
      <c r="ZJ7" s="3"/>
      <c r="ZK7" s="3"/>
      <c r="ZL7" s="3"/>
      <c r="ZM7" s="3"/>
      <c r="ZN7" s="3"/>
      <c r="ZO7" s="3"/>
      <c r="ZP7" s="3"/>
      <c r="ZQ7" s="3"/>
      <c r="ZR7" s="3"/>
      <c r="ZS7" s="3"/>
      <c r="ZT7" s="3"/>
      <c r="ZU7" s="3"/>
      <c r="ZV7" s="3"/>
      <c r="ZW7" s="3"/>
      <c r="ZX7" s="3"/>
      <c r="ZY7" s="3"/>
      <c r="ZZ7" s="3"/>
      <c r="AAA7" s="3"/>
      <c r="AAB7" s="3"/>
      <c r="AAC7" s="3"/>
      <c r="AAD7" s="3"/>
      <c r="AAE7" s="3"/>
      <c r="AAF7" s="3"/>
      <c r="AAG7" s="3"/>
      <c r="AAH7" s="3"/>
      <c r="AAI7" s="3"/>
      <c r="AAJ7" s="3"/>
      <c r="AAK7" s="3"/>
      <c r="AAL7" s="3"/>
      <c r="AAM7" s="3"/>
      <c r="AAN7" s="3"/>
      <c r="AAO7" s="3"/>
      <c r="AAP7" s="3"/>
      <c r="AAQ7" s="3"/>
      <c r="AAR7" s="3"/>
      <c r="AAS7" s="3"/>
      <c r="AAT7" s="3"/>
      <c r="AAU7" s="3"/>
      <c r="AAV7" s="3"/>
      <c r="AAW7" s="3"/>
      <c r="AAX7" s="3"/>
      <c r="AAY7" s="3"/>
      <c r="AAZ7" s="3"/>
      <c r="ABA7" s="3"/>
      <c r="ABB7" s="3"/>
      <c r="ABC7" s="3"/>
      <c r="ABD7" s="3"/>
      <c r="ABE7" s="3"/>
      <c r="ABF7" s="3"/>
      <c r="ABG7" s="3"/>
      <c r="ABH7" s="3"/>
      <c r="ABI7" s="3"/>
      <c r="ABJ7" s="3"/>
      <c r="ABK7" s="3"/>
      <c r="ABL7" s="3"/>
      <c r="ABM7" s="3"/>
      <c r="ABN7" s="3"/>
      <c r="ABO7" s="3"/>
      <c r="ABP7" s="3"/>
      <c r="ABQ7" s="3"/>
      <c r="ABR7" s="3"/>
      <c r="ABS7" s="3"/>
      <c r="ABT7" s="3"/>
      <c r="ABU7" s="3"/>
      <c r="ABV7" s="3"/>
      <c r="ABW7" s="3"/>
      <c r="ABX7" s="3"/>
      <c r="ABY7" s="3"/>
      <c r="ABZ7" s="3"/>
      <c r="ACA7" s="3"/>
      <c r="ACB7" s="3"/>
      <c r="ACC7" s="3"/>
      <c r="ACD7" s="3"/>
      <c r="ACE7" s="3"/>
      <c r="ACF7" s="3"/>
      <c r="ACG7" s="3"/>
      <c r="ACH7" s="3"/>
      <c r="ACI7" s="3"/>
      <c r="ACJ7" s="3"/>
      <c r="ACK7" s="3"/>
      <c r="ACL7" s="3"/>
      <c r="ACM7" s="3"/>
      <c r="ACN7" s="3"/>
      <c r="ACO7" s="3"/>
      <c r="ACP7" s="3"/>
      <c r="ACQ7" s="3"/>
      <c r="ACR7" s="3"/>
      <c r="ACS7" s="3"/>
      <c r="ACT7" s="3"/>
      <c r="ACU7" s="3"/>
      <c r="ACV7" s="3"/>
      <c r="ACW7" s="3"/>
      <c r="ACX7" s="3"/>
      <c r="ACY7" s="3"/>
      <c r="ACZ7" s="3"/>
      <c r="ADA7" s="3"/>
      <c r="ADB7" s="3"/>
      <c r="ADC7" s="3"/>
      <c r="ADD7" s="3"/>
      <c r="ADE7" s="3"/>
      <c r="ADF7" s="3"/>
      <c r="ADG7" s="3"/>
      <c r="ADH7" s="3"/>
      <c r="ADI7" s="3"/>
      <c r="ADJ7" s="3"/>
      <c r="ADK7" s="3"/>
      <c r="ADL7" s="3"/>
      <c r="ADM7" s="3"/>
      <c r="ADN7" s="3"/>
      <c r="ADO7" s="3"/>
      <c r="ADP7" s="3"/>
      <c r="ADQ7" s="3"/>
      <c r="ADR7" s="3"/>
      <c r="ADS7" s="3"/>
      <c r="ADT7" s="3"/>
      <c r="ADU7" s="3"/>
      <c r="ADV7" s="3"/>
      <c r="ADW7" s="3"/>
      <c r="ADX7" s="3"/>
      <c r="ADY7" s="3"/>
      <c r="ADZ7" s="3"/>
      <c r="AEA7" s="3"/>
      <c r="AEB7" s="3"/>
      <c r="AEC7" s="3"/>
      <c r="AED7" s="3"/>
      <c r="AEE7" s="3"/>
      <c r="AEF7" s="3"/>
      <c r="AEG7" s="3"/>
      <c r="AEH7" s="3"/>
      <c r="AEI7" s="3"/>
      <c r="AEJ7" s="3"/>
      <c r="AEK7" s="3"/>
      <c r="AEL7" s="3"/>
      <c r="AEM7" s="3"/>
      <c r="AEN7" s="3"/>
      <c r="AEO7" s="3"/>
      <c r="AEP7" s="3"/>
      <c r="AEQ7" s="3"/>
      <c r="AER7" s="3"/>
      <c r="AES7" s="3"/>
      <c r="AET7" s="3"/>
      <c r="AEU7" s="3"/>
      <c r="AEV7" s="3"/>
      <c r="AEW7" s="3"/>
      <c r="AEX7" s="3"/>
      <c r="AEY7" s="3"/>
      <c r="AEZ7" s="3"/>
      <c r="AFA7" s="3"/>
      <c r="AFB7" s="3"/>
      <c r="AFC7" s="3"/>
      <c r="AFD7" s="3"/>
      <c r="AFE7" s="3"/>
      <c r="AFF7" s="3"/>
      <c r="AFG7" s="3"/>
      <c r="AFH7" s="3"/>
      <c r="AFI7" s="3"/>
      <c r="AFJ7" s="3"/>
      <c r="AFK7" s="3"/>
      <c r="AFL7" s="3"/>
      <c r="AFM7" s="3"/>
      <c r="AFN7" s="3"/>
      <c r="AFO7" s="3"/>
      <c r="AFP7" s="3"/>
      <c r="AFQ7" s="3"/>
      <c r="AFR7" s="3"/>
      <c r="AFS7" s="3"/>
      <c r="AFT7" s="3"/>
      <c r="AFU7" s="3"/>
      <c r="AFV7" s="3"/>
      <c r="AFW7" s="3"/>
      <c r="AFX7" s="3"/>
      <c r="AFY7" s="3"/>
      <c r="AFZ7" s="3"/>
      <c r="AGA7" s="3"/>
      <c r="AGB7" s="3"/>
      <c r="AGC7" s="3"/>
      <c r="AGD7" s="3"/>
      <c r="AGE7" s="3"/>
      <c r="AGF7" s="3"/>
      <c r="AGG7" s="3"/>
      <c r="AGH7" s="3"/>
      <c r="AGI7" s="3"/>
      <c r="AGJ7" s="3"/>
      <c r="AGK7" s="3"/>
      <c r="AGL7" s="3"/>
      <c r="AGM7" s="3"/>
      <c r="AGN7" s="3"/>
      <c r="AGO7" s="3"/>
      <c r="AGP7" s="3"/>
      <c r="AGQ7" s="3"/>
      <c r="AGR7" s="3"/>
      <c r="AGS7" s="3"/>
      <c r="AGT7" s="3"/>
      <c r="AGU7" s="3"/>
      <c r="AGV7" s="3"/>
      <c r="AGW7" s="3"/>
      <c r="AGX7" s="3"/>
      <c r="AGY7" s="3"/>
      <c r="AGZ7" s="3"/>
      <c r="AHA7" s="3"/>
      <c r="AHB7" s="3"/>
      <c r="AHC7" s="3"/>
      <c r="AHD7" s="3"/>
      <c r="AHE7" s="3"/>
      <c r="AHF7" s="3"/>
      <c r="AHG7" s="3"/>
      <c r="AHH7" s="3"/>
      <c r="AHI7" s="3"/>
      <c r="AHJ7" s="3"/>
      <c r="AHK7" s="3"/>
      <c r="AHL7" s="3"/>
      <c r="AHM7" s="3"/>
      <c r="AHN7" s="3"/>
      <c r="AHO7" s="3"/>
      <c r="AHP7" s="3"/>
      <c r="AHQ7" s="3"/>
      <c r="AHR7" s="3"/>
      <c r="AHS7" s="3"/>
      <c r="AHT7" s="3"/>
      <c r="AHU7" s="3"/>
      <c r="AHV7" s="3"/>
      <c r="AHW7" s="3"/>
      <c r="AHX7" s="3"/>
      <c r="AHY7" s="3"/>
      <c r="AHZ7" s="3"/>
      <c r="AIA7" s="3"/>
      <c r="AIB7" s="3"/>
      <c r="AIC7" s="3"/>
      <c r="AID7" s="3"/>
      <c r="AIE7" s="3"/>
      <c r="AIF7" s="3"/>
      <c r="AIG7" s="3"/>
      <c r="AIH7" s="3"/>
      <c r="AII7" s="3"/>
      <c r="AIJ7" s="3"/>
      <c r="AIK7" s="3"/>
      <c r="AIL7" s="3"/>
      <c r="AIM7" s="3"/>
      <c r="AIN7" s="3"/>
      <c r="AIO7" s="3"/>
      <c r="AIP7" s="3"/>
      <c r="AIQ7" s="3"/>
      <c r="AIR7" s="3"/>
      <c r="AIS7" s="3"/>
      <c r="AIT7" s="3"/>
      <c r="AIU7" s="3"/>
      <c r="AIV7" s="3"/>
      <c r="AIW7" s="3"/>
      <c r="AIX7" s="3"/>
      <c r="AIY7" s="3"/>
      <c r="AIZ7" s="3"/>
      <c r="AJA7" s="3"/>
      <c r="AJB7" s="3"/>
      <c r="AJC7" s="3"/>
      <c r="AJD7" s="3"/>
      <c r="AJE7" s="3"/>
      <c r="AJF7" s="3"/>
      <c r="AJG7" s="3"/>
      <c r="AJH7" s="3"/>
      <c r="AJI7" s="3"/>
      <c r="AJJ7" s="3"/>
      <c r="AJK7" s="3"/>
      <c r="AJL7" s="3"/>
      <c r="AJM7" s="3"/>
      <c r="AJN7" s="3"/>
      <c r="AJO7" s="3"/>
      <c r="AJP7" s="3"/>
      <c r="AJQ7" s="3"/>
      <c r="AJR7" s="3"/>
      <c r="AJS7" s="3"/>
      <c r="AJT7" s="3"/>
      <c r="AJU7" s="3"/>
      <c r="AJV7" s="3"/>
      <c r="AJW7" s="3"/>
      <c r="AJX7" s="3"/>
      <c r="AJY7" s="3"/>
      <c r="AJZ7" s="3"/>
      <c r="AKA7" s="3"/>
      <c r="AKB7" s="3"/>
      <c r="AKC7" s="3"/>
      <c r="AKD7" s="3"/>
      <c r="AKE7" s="3"/>
      <c r="AKF7" s="3"/>
      <c r="AKG7" s="3"/>
      <c r="AKH7" s="3"/>
      <c r="AKI7" s="3"/>
      <c r="AKJ7" s="3"/>
      <c r="AKK7" s="3"/>
      <c r="AKL7" s="3"/>
      <c r="AKM7" s="3"/>
      <c r="AKN7" s="3"/>
      <c r="AKO7" s="3"/>
      <c r="AKP7" s="3"/>
      <c r="AKQ7" s="3"/>
      <c r="AKR7" s="3"/>
      <c r="AKS7" s="3"/>
      <c r="AKT7" s="3"/>
      <c r="AKU7" s="3"/>
      <c r="AKV7" s="3"/>
      <c r="AKW7" s="3"/>
      <c r="AKX7" s="3"/>
      <c r="AKY7" s="3"/>
      <c r="AKZ7" s="3"/>
      <c r="ALA7" s="3"/>
      <c r="ALB7" s="3"/>
      <c r="ALC7" s="3"/>
      <c r="ALD7" s="3"/>
      <c r="ALE7" s="3"/>
      <c r="ALF7" s="3"/>
      <c r="ALG7" s="3"/>
      <c r="ALH7" s="3"/>
      <c r="ALI7" s="3"/>
      <c r="ALJ7" s="3"/>
      <c r="ALK7" s="3"/>
      <c r="ALL7" s="3"/>
      <c r="ALM7" s="3"/>
      <c r="ALN7" s="3"/>
      <c r="ALO7" s="3"/>
      <c r="ALP7" s="3"/>
      <c r="ALQ7" s="3"/>
      <c r="ALR7" s="3"/>
      <c r="ALS7" s="3"/>
      <c r="ALT7" s="3"/>
      <c r="ALU7" s="3"/>
      <c r="ALV7" s="3"/>
      <c r="ALW7" s="3"/>
      <c r="ALX7" s="3"/>
      <c r="ALY7" s="3"/>
      <c r="ALZ7" s="3"/>
      <c r="AMA7" s="3"/>
      <c r="AMB7" s="3"/>
      <c r="AMC7" s="3"/>
      <c r="AMD7" s="3"/>
      <c r="AME7" s="3"/>
      <c r="AMF7" s="3"/>
      <c r="AMG7" s="3"/>
      <c r="AMH7" s="3"/>
      <c r="AMI7" s="3"/>
      <c r="AMJ7" s="3"/>
    </row>
    <row r="8" spans="1:1024">
      <c r="A8" t="s">
        <v>1</v>
      </c>
      <c r="B8">
        <v>65.951279</v>
      </c>
      <c r="C8">
        <v>56.683436999999998</v>
      </c>
      <c r="D8">
        <v>55.972510999999997</v>
      </c>
      <c r="F8" s="55" t="s">
        <v>20</v>
      </c>
      <c r="G8" s="55"/>
      <c r="H8" s="55"/>
      <c r="I8" s="55"/>
    </row>
    <row r="9" spans="1:1024">
      <c r="A9" t="s">
        <v>2</v>
      </c>
      <c r="B9">
        <v>29.448753</v>
      </c>
      <c r="C9">
        <v>24.406552999999999</v>
      </c>
      <c r="D9">
        <v>24.823098999999999</v>
      </c>
      <c r="F9" s="2"/>
      <c r="G9" s="2" t="s">
        <v>22</v>
      </c>
      <c r="H9" s="2" t="s">
        <v>23</v>
      </c>
      <c r="I9" s="2" t="s">
        <v>24</v>
      </c>
    </row>
    <row r="10" spans="1:1024">
      <c r="A10" t="s">
        <v>3</v>
      </c>
      <c r="B10">
        <v>81.242408999999995</v>
      </c>
      <c r="C10">
        <v>70.672707000000003</v>
      </c>
      <c r="D10">
        <v>65.347594999999998</v>
      </c>
      <c r="F10" t="s">
        <v>1</v>
      </c>
      <c r="G10">
        <v>77.526375000000002</v>
      </c>
      <c r="H10">
        <v>67.917511000000005</v>
      </c>
      <c r="I10">
        <v>61.966206</v>
      </c>
    </row>
    <row r="11" spans="1:1024">
      <c r="A11" t="s">
        <v>4</v>
      </c>
      <c r="B11">
        <v>40.000149</v>
      </c>
      <c r="C11">
        <v>34.892158999999999</v>
      </c>
      <c r="D11">
        <v>31.376111999999999</v>
      </c>
      <c r="F11" t="s">
        <v>2</v>
      </c>
      <c r="G11">
        <v>34.075690999999999</v>
      </c>
      <c r="H11">
        <v>28.937159999999999</v>
      </c>
      <c r="I11">
        <v>26.408826999999999</v>
      </c>
    </row>
    <row r="12" spans="1:1024">
      <c r="F12" t="s">
        <v>3</v>
      </c>
      <c r="G12">
        <v>88.252028999999993</v>
      </c>
      <c r="H12">
        <v>74.980964999999998</v>
      </c>
      <c r="I12">
        <v>69.124595999999997</v>
      </c>
    </row>
    <row r="13" spans="1:1024" s="4" customFormat="1">
      <c r="A13" s="54" t="s">
        <v>6</v>
      </c>
      <c r="B13" s="54"/>
      <c r="C13" s="54"/>
      <c r="D13" s="54"/>
      <c r="F13" t="s">
        <v>4</v>
      </c>
      <c r="G13">
        <v>67.599365000000006</v>
      </c>
      <c r="H13">
        <v>49.464626000000003</v>
      </c>
      <c r="I13">
        <v>44.753883000000002</v>
      </c>
    </row>
    <row r="14" spans="1:1024">
      <c r="A14" t="s">
        <v>1</v>
      </c>
      <c r="B14">
        <v>54.131399999999999</v>
      </c>
      <c r="C14">
        <v>51.987816000000002</v>
      </c>
      <c r="D14">
        <v>49.845999999999997</v>
      </c>
    </row>
    <row r="15" spans="1:1024">
      <c r="A15" t="s">
        <v>2</v>
      </c>
      <c r="B15">
        <v>24.368808999999999</v>
      </c>
      <c r="C15">
        <v>22.992683</v>
      </c>
      <c r="D15">
        <v>22.404900000000001</v>
      </c>
      <c r="F15" s="4"/>
      <c r="G15" s="4"/>
      <c r="H15" s="4"/>
      <c r="I15" s="4"/>
    </row>
    <row r="16" spans="1:1024">
      <c r="A16" t="s">
        <v>3</v>
      </c>
      <c r="B16">
        <v>67.788600000000002</v>
      </c>
      <c r="C16">
        <v>60.139378000000001</v>
      </c>
      <c r="D16">
        <v>57.110560999999997</v>
      </c>
      <c r="F16" t="s">
        <v>29</v>
      </c>
      <c r="G16">
        <v>69.539398000000006</v>
      </c>
      <c r="H16">
        <v>66.012885999999995</v>
      </c>
      <c r="I16">
        <v>59.365653999999999</v>
      </c>
    </row>
    <row r="17" spans="1:13">
      <c r="A17" t="s">
        <v>4</v>
      </c>
      <c r="B17">
        <v>27.949508999999999</v>
      </c>
      <c r="C17">
        <v>24.58765</v>
      </c>
      <c r="D17">
        <v>23.919827000000002</v>
      </c>
      <c r="F17" t="s">
        <v>26</v>
      </c>
      <c r="G17">
        <v>28.43796</v>
      </c>
      <c r="H17">
        <v>26.568135999999999</v>
      </c>
      <c r="I17">
        <v>23.708067</v>
      </c>
    </row>
    <row r="18" spans="1:13">
      <c r="F18" t="s">
        <v>27</v>
      </c>
      <c r="G18">
        <v>86.777457999999996</v>
      </c>
      <c r="H18">
        <v>76.532539</v>
      </c>
      <c r="I18">
        <v>67.987915000000001</v>
      </c>
    </row>
    <row r="19" spans="1:13" s="4" customFormat="1">
      <c r="A19" s="54" t="s">
        <v>7</v>
      </c>
      <c r="B19" s="54"/>
      <c r="C19" s="54"/>
      <c r="D19" s="54"/>
      <c r="F19" t="s">
        <v>28</v>
      </c>
      <c r="G19">
        <v>73.892082000000002</v>
      </c>
      <c r="H19">
        <v>58.857684999999996</v>
      </c>
      <c r="I19">
        <v>50.813927</v>
      </c>
    </row>
    <row r="20" spans="1:13">
      <c r="A20" t="s">
        <v>1</v>
      </c>
      <c r="B20">
        <v>58.139949999999999</v>
      </c>
      <c r="C20">
        <v>55.034438999999999</v>
      </c>
      <c r="D20">
        <v>52.658123000000003</v>
      </c>
    </row>
    <row r="21" spans="1:13">
      <c r="A21" t="s">
        <v>2</v>
      </c>
      <c r="B21">
        <v>26.278300999999999</v>
      </c>
      <c r="C21">
        <v>24.518843</v>
      </c>
      <c r="D21">
        <v>24.071135000000002</v>
      </c>
      <c r="F21" s="4"/>
      <c r="G21" s="4"/>
      <c r="H21" s="4"/>
      <c r="I21" s="4"/>
    </row>
    <row r="22" spans="1:13">
      <c r="A22" t="s">
        <v>3</v>
      </c>
      <c r="B22">
        <v>71.448043999999996</v>
      </c>
      <c r="C22">
        <v>62.753642999999997</v>
      </c>
      <c r="D22">
        <v>59.436680000000003</v>
      </c>
      <c r="F22" t="s">
        <v>29</v>
      </c>
      <c r="G22">
        <v>77.645645000000002</v>
      </c>
      <c r="H22">
        <v>67.753051999999997</v>
      </c>
      <c r="I22">
        <v>62.238998000000002</v>
      </c>
    </row>
    <row r="23" spans="1:13">
      <c r="A23" t="s">
        <v>4</v>
      </c>
      <c r="B23">
        <v>29.088995000000001</v>
      </c>
      <c r="C23">
        <v>25.889782</v>
      </c>
      <c r="D23">
        <v>25.196235999999999</v>
      </c>
      <c r="F23" t="s">
        <v>26</v>
      </c>
      <c r="G23">
        <v>34.079875999999999</v>
      </c>
      <c r="H23">
        <v>28.804928</v>
      </c>
      <c r="I23">
        <v>26.534748</v>
      </c>
    </row>
    <row r="24" spans="1:13">
      <c r="F24" t="s">
        <v>27</v>
      </c>
      <c r="G24">
        <v>88.461838</v>
      </c>
      <c r="H24">
        <v>74.661902999999995</v>
      </c>
      <c r="I24">
        <v>68.997626999999994</v>
      </c>
    </row>
    <row r="25" spans="1:13" s="4" customFormat="1">
      <c r="A25" s="54" t="s">
        <v>8</v>
      </c>
      <c r="B25" s="54"/>
      <c r="C25" s="54"/>
      <c r="D25" s="54"/>
      <c r="F25" t="s">
        <v>28</v>
      </c>
      <c r="G25">
        <v>66.772942</v>
      </c>
      <c r="H25">
        <v>49.332588000000001</v>
      </c>
      <c r="I25">
        <v>44.550449</v>
      </c>
    </row>
    <row r="26" spans="1:13">
      <c r="A26" t="s">
        <v>9</v>
      </c>
      <c r="B26">
        <v>66.309807000000006</v>
      </c>
      <c r="C26">
        <v>60.556213</v>
      </c>
      <c r="D26">
        <v>53.479140999999998</v>
      </c>
      <c r="K26" s="1" t="s">
        <v>22</v>
      </c>
      <c r="L26" s="1" t="s">
        <v>23</v>
      </c>
      <c r="M26" s="1" t="s">
        <v>24</v>
      </c>
    </row>
    <row r="27" spans="1:13">
      <c r="A27" t="s">
        <v>10</v>
      </c>
      <c r="B27">
        <v>29.509063999999999</v>
      </c>
      <c r="C27">
        <v>27.160072</v>
      </c>
      <c r="D27">
        <v>23.816600999999999</v>
      </c>
      <c r="J27" t="s">
        <v>29</v>
      </c>
      <c r="K27">
        <f>B68-B64</f>
        <v>7.9224700000000041</v>
      </c>
      <c r="L27">
        <f>C68-C64</f>
        <v>1.751221000000001</v>
      </c>
      <c r="M27">
        <f>D68-D64</f>
        <v>2.9971969999999999</v>
      </c>
    </row>
    <row r="28" spans="1:13">
      <c r="A28" t="s">
        <v>11</v>
      </c>
      <c r="B28">
        <v>50.308723000000001</v>
      </c>
      <c r="C28">
        <v>46.726196000000002</v>
      </c>
      <c r="D28">
        <v>41.245510000000003</v>
      </c>
      <c r="J28" t="s">
        <v>26</v>
      </c>
      <c r="K28" t="e">
        <f>#REF!-#REF!</f>
        <v>#REF!</v>
      </c>
      <c r="L28" t="e">
        <f>#REF!-#REF!</f>
        <v>#REF!</v>
      </c>
      <c r="M28" t="e">
        <f>#REF!-#REF!</f>
        <v>#REF!</v>
      </c>
    </row>
    <row r="29" spans="1:13">
      <c r="A29" t="s">
        <v>12</v>
      </c>
      <c r="B29">
        <v>34.161884000000001</v>
      </c>
      <c r="C29">
        <v>30.576440999999999</v>
      </c>
      <c r="D29">
        <v>28.982102999999999</v>
      </c>
      <c r="J29" t="s">
        <v>27</v>
      </c>
      <c r="K29">
        <f t="shared" ref="K29:M30" si="2">B69-B65</f>
        <v>2.2946550000000059</v>
      </c>
      <c r="L29">
        <f t="shared" si="2"/>
        <v>-0.82664499999999919</v>
      </c>
      <c r="M29">
        <f t="shared" si="2"/>
        <v>1.3992539999999991</v>
      </c>
    </row>
    <row r="30" spans="1:13">
      <c r="J30" t="s">
        <v>28</v>
      </c>
      <c r="K30">
        <f t="shared" si="2"/>
        <v>-5.0113979999999998</v>
      </c>
      <c r="L30">
        <f t="shared" si="2"/>
        <v>-9.018383</v>
      </c>
      <c r="M30">
        <f t="shared" si="2"/>
        <v>-4.9346700000000041</v>
      </c>
    </row>
    <row r="31" spans="1:13" s="4" customFormat="1">
      <c r="A31" s="54" t="s">
        <v>13</v>
      </c>
      <c r="B31" s="54"/>
      <c r="C31" s="54"/>
      <c r="D31" s="54"/>
    </row>
    <row r="32" spans="1:13">
      <c r="A32" t="s">
        <v>9</v>
      </c>
      <c r="B32">
        <v>58.860610999999999</v>
      </c>
      <c r="C32">
        <v>57.009262</v>
      </c>
      <c r="D32">
        <v>51.562224999999998</v>
      </c>
    </row>
    <row r="33" spans="1:19">
      <c r="A33" t="s">
        <v>10</v>
      </c>
      <c r="B33">
        <v>26.436937</v>
      </c>
      <c r="C33">
        <v>25.596015999999999</v>
      </c>
      <c r="D33">
        <v>23.043861</v>
      </c>
    </row>
    <row r="34" spans="1:19">
      <c r="A34" t="s">
        <v>11</v>
      </c>
      <c r="B34">
        <v>45.534058000000002</v>
      </c>
      <c r="C34">
        <v>44.515095000000002</v>
      </c>
      <c r="D34">
        <v>40.178874999999998</v>
      </c>
    </row>
    <row r="35" spans="1:19">
      <c r="A35" t="s">
        <v>12</v>
      </c>
      <c r="B35">
        <v>27.838013</v>
      </c>
      <c r="C35">
        <v>27.808206999999999</v>
      </c>
      <c r="D35">
        <v>26.696507</v>
      </c>
    </row>
    <row r="37" spans="1:19" s="4" customFormat="1">
      <c r="A37" s="54" t="s">
        <v>14</v>
      </c>
      <c r="B37" s="54"/>
      <c r="C37" s="54"/>
      <c r="D37" s="54"/>
      <c r="F37"/>
    </row>
    <row r="38" spans="1:19">
      <c r="A38" t="s">
        <v>15</v>
      </c>
      <c r="B38">
        <v>0.36363600000000001</v>
      </c>
      <c r="C38">
        <v>0.44345899999999999</v>
      </c>
      <c r="D38">
        <v>0.516486</v>
      </c>
    </row>
    <row r="39" spans="1:19">
      <c r="A39" t="s">
        <v>16</v>
      </c>
      <c r="B39">
        <v>0.14546500000000001</v>
      </c>
      <c r="C39">
        <v>0.19247</v>
      </c>
      <c r="D39">
        <v>0.21729799999999999</v>
      </c>
      <c r="F39" s="4"/>
    </row>
    <row r="40" spans="1:19">
      <c r="A40" t="s">
        <v>17</v>
      </c>
      <c r="B40">
        <v>0.170068</v>
      </c>
      <c r="C40">
        <v>8.7133000000000002E-2</v>
      </c>
      <c r="D40">
        <v>8.7133000000000002E-2</v>
      </c>
    </row>
    <row r="41" spans="1:19">
      <c r="A41" t="s">
        <v>18</v>
      </c>
      <c r="B41">
        <v>6.5680000000000002E-2</v>
      </c>
      <c r="C41">
        <v>6.8925E-2</v>
      </c>
      <c r="D41">
        <v>6.8925E-2</v>
      </c>
    </row>
    <row r="43" spans="1:19">
      <c r="A43" s="54" t="s">
        <v>25</v>
      </c>
      <c r="B43" s="54"/>
      <c r="C43" s="54"/>
      <c r="D43" s="54"/>
    </row>
    <row r="44" spans="1:19">
      <c r="A44" t="s">
        <v>1</v>
      </c>
      <c r="B44">
        <v>66.286095000000003</v>
      </c>
      <c r="C44">
        <v>60.794079000000004</v>
      </c>
      <c r="D44">
        <v>56.602215000000001</v>
      </c>
    </row>
    <row r="45" spans="1:19">
      <c r="A45" t="s">
        <v>2</v>
      </c>
      <c r="B45">
        <v>29.615461</v>
      </c>
      <c r="C45">
        <v>26.271111000000001</v>
      </c>
      <c r="D45">
        <v>25.125672999999999</v>
      </c>
    </row>
    <row r="46" spans="1:19">
      <c r="A46" t="s">
        <v>3</v>
      </c>
      <c r="B46">
        <v>80.853729000000001</v>
      </c>
      <c r="C46">
        <v>70.397255000000001</v>
      </c>
      <c r="D46">
        <v>65.429282999999998</v>
      </c>
      <c r="J46" s="54" t="s">
        <v>36</v>
      </c>
      <c r="K46" s="54"/>
      <c r="L46" s="54"/>
      <c r="M46" s="54" t="s">
        <v>30</v>
      </c>
      <c r="N46" s="54"/>
      <c r="O46" s="54"/>
    </row>
    <row r="47" spans="1:19">
      <c r="A47" t="s">
        <v>4</v>
      </c>
      <c r="B47">
        <v>40.968905999999997</v>
      </c>
      <c r="C47">
        <v>35.093215999999998</v>
      </c>
      <c r="D47">
        <v>32.869728000000002</v>
      </c>
      <c r="J47" t="s">
        <v>39</v>
      </c>
      <c r="K47" t="s">
        <v>40</v>
      </c>
      <c r="L47" t="s">
        <v>41</v>
      </c>
      <c r="M47" t="s">
        <v>39</v>
      </c>
      <c r="N47" t="s">
        <v>40</v>
      </c>
      <c r="O47" t="s">
        <v>41</v>
      </c>
    </row>
    <row r="48" spans="1:19" ht="17">
      <c r="I48" t="s">
        <v>37</v>
      </c>
      <c r="J48" s="6">
        <v>0.112495</v>
      </c>
      <c r="K48" s="6">
        <v>4.0844250000000004</v>
      </c>
      <c r="L48" s="6">
        <v>0.13058400000000001</v>
      </c>
      <c r="M48" s="6">
        <v>9.5619999999999997E-2</v>
      </c>
      <c r="N48" s="6">
        <v>2.4361000000000002</v>
      </c>
      <c r="O48" s="6">
        <v>0.11275</v>
      </c>
      <c r="Q48">
        <f>J48-M48</f>
        <v>1.6875000000000001E-2</v>
      </c>
      <c r="R48">
        <f>K48-N48</f>
        <v>1.6483250000000003</v>
      </c>
      <c r="S48">
        <f>L48-O48</f>
        <v>1.7834000000000003E-2</v>
      </c>
    </row>
    <row r="49" spans="1:24" ht="17">
      <c r="J49" s="6">
        <v>0.112764</v>
      </c>
      <c r="K49" s="6">
        <v>2.4292029999999998</v>
      </c>
      <c r="L49" s="6">
        <v>0.12710099999999999</v>
      </c>
      <c r="M49" s="6">
        <v>9.4140000000000001E-2</v>
      </c>
      <c r="N49" s="6">
        <v>2.52034</v>
      </c>
      <c r="O49" s="6">
        <v>0.11175</v>
      </c>
      <c r="Q49">
        <f>J49-M49</f>
        <v>1.8624000000000002E-2</v>
      </c>
      <c r="R49">
        <f t="shared" ref="R49:R57" si="3">K49-N49</f>
        <v>-9.1137000000000246E-2</v>
      </c>
      <c r="S49">
        <f t="shared" ref="S49:S57" si="4">L49-O49</f>
        <v>1.535099999999999E-2</v>
      </c>
    </row>
    <row r="50" spans="1:24" ht="17">
      <c r="A50" s="54" t="s">
        <v>34</v>
      </c>
      <c r="B50" s="54"/>
      <c r="C50" s="54"/>
      <c r="D50" s="54"/>
      <c r="J50" s="6">
        <v>0.112652</v>
      </c>
      <c r="K50" s="6">
        <v>4.9240529999999998</v>
      </c>
      <c r="L50" s="6">
        <v>0.13040399999999999</v>
      </c>
      <c r="M50" s="6">
        <v>9.4310000000000005E-2</v>
      </c>
      <c r="N50" s="6">
        <v>2.4138099999999998</v>
      </c>
      <c r="O50" s="6">
        <v>0.11146</v>
      </c>
      <c r="Q50">
        <f>J50-M50</f>
        <v>1.8341999999999997E-2</v>
      </c>
      <c r="R50">
        <f t="shared" si="3"/>
        <v>2.510243</v>
      </c>
      <c r="S50">
        <f t="shared" si="4"/>
        <v>1.8943999999999989E-2</v>
      </c>
    </row>
    <row r="51" spans="1:24">
      <c r="F51" s="1" t="s">
        <v>22</v>
      </c>
      <c r="G51" s="1" t="s">
        <v>23</v>
      </c>
      <c r="H51" s="1" t="s">
        <v>24</v>
      </c>
      <c r="J51">
        <f>AVERAGE(J48:J50)</f>
        <v>0.11263699999999999</v>
      </c>
      <c r="K51">
        <f t="shared" ref="K51:O51" si="5">AVERAGE(K48:K50)</f>
        <v>3.8125603333333338</v>
      </c>
      <c r="L51">
        <f>AVERAGE(L48:L50)</f>
        <v>0.12936300000000001</v>
      </c>
      <c r="M51">
        <f t="shared" si="5"/>
        <v>9.4689999999999996E-2</v>
      </c>
      <c r="N51">
        <f t="shared" si="5"/>
        <v>2.45675</v>
      </c>
      <c r="O51">
        <f t="shared" si="5"/>
        <v>0.11198666666666668</v>
      </c>
      <c r="Q51">
        <f>J51-M51</f>
        <v>1.7946999999999991E-2</v>
      </c>
      <c r="R51">
        <f t="shared" si="3"/>
        <v>1.3558103333333338</v>
      </c>
      <c r="S51">
        <f t="shared" si="4"/>
        <v>1.7376333333333327E-2</v>
      </c>
    </row>
    <row r="52" spans="1:24">
      <c r="A52" t="s">
        <v>31</v>
      </c>
      <c r="B52">
        <v>86.987999000000002</v>
      </c>
      <c r="C52">
        <v>77.105689999999996</v>
      </c>
      <c r="D52">
        <v>68.012459000000007</v>
      </c>
      <c r="E52" t="s">
        <v>31</v>
      </c>
      <c r="F52">
        <f>B58-B52</f>
        <v>2.198172999999997</v>
      </c>
      <c r="G52">
        <f>C58-C52</f>
        <v>2.6488720000000114</v>
      </c>
      <c r="H52">
        <f>D58-D52</f>
        <v>10.538055</v>
      </c>
    </row>
    <row r="53" spans="1:24">
      <c r="A53" t="s">
        <v>32</v>
      </c>
      <c r="B53">
        <v>86.00412</v>
      </c>
      <c r="C53">
        <v>74.355941999999999</v>
      </c>
      <c r="D53">
        <v>65.62397</v>
      </c>
      <c r="E53" t="s">
        <v>32</v>
      </c>
      <c r="F53">
        <f t="shared" ref="F53:F54" si="6">B59-B53</f>
        <v>1.1086200000000019</v>
      </c>
      <c r="G53">
        <f>C59-C53</f>
        <v>2.5038760000000053</v>
      </c>
      <c r="H53">
        <f>D59-D53</f>
        <v>10.096985000000004</v>
      </c>
    </row>
    <row r="54" spans="1:24" ht="17">
      <c r="A54" t="s">
        <v>33</v>
      </c>
      <c r="B54">
        <v>75.447768999999994</v>
      </c>
      <c r="C54">
        <v>63.742085000000003</v>
      </c>
      <c r="D54">
        <v>54.334251000000002</v>
      </c>
      <c r="E54" t="s">
        <v>33</v>
      </c>
      <c r="F54">
        <f t="shared" si="6"/>
        <v>-1.7112999999994827E-2</v>
      </c>
      <c r="G54">
        <f>C60-C54</f>
        <v>0.45786599999999567</v>
      </c>
      <c r="H54">
        <f>D60-D54</f>
        <v>8.568050999999997</v>
      </c>
      <c r="I54" t="s">
        <v>38</v>
      </c>
      <c r="J54" s="6">
        <v>0.113817</v>
      </c>
      <c r="K54" s="6">
        <v>2.2334350000000001</v>
      </c>
      <c r="L54" s="6">
        <v>0.12876899999999999</v>
      </c>
      <c r="M54" s="6">
        <v>9.9650000000000002E-2</v>
      </c>
      <c r="N54" s="6">
        <v>2.3409399999999998</v>
      </c>
      <c r="O54" s="6">
        <v>0.11244999999999999</v>
      </c>
      <c r="Q54">
        <f>J54-M54</f>
        <v>1.4166999999999999E-2</v>
      </c>
      <c r="R54">
        <f t="shared" si="3"/>
        <v>-0.10750499999999974</v>
      </c>
      <c r="S54">
        <f t="shared" si="4"/>
        <v>1.6319E-2</v>
      </c>
    </row>
    <row r="55" spans="1:24" ht="17">
      <c r="J55" s="6">
        <v>0.112804</v>
      </c>
      <c r="K55" s="6">
        <v>2.179271</v>
      </c>
      <c r="L55" s="6">
        <v>0.125195</v>
      </c>
      <c r="M55" s="6">
        <v>9.5180000000000001E-2</v>
      </c>
      <c r="N55" s="6">
        <v>2.3970500000000001</v>
      </c>
      <c r="O55" s="6">
        <v>0.11203</v>
      </c>
      <c r="Q55">
        <f>J55-M55</f>
        <v>1.7624000000000001E-2</v>
      </c>
      <c r="R55">
        <f t="shared" si="3"/>
        <v>-0.21777900000000017</v>
      </c>
      <c r="S55">
        <f t="shared" si="4"/>
        <v>1.3164999999999996E-2</v>
      </c>
    </row>
    <row r="56" spans="1:24" ht="17">
      <c r="J56" s="6">
        <v>0.112635</v>
      </c>
      <c r="K56" s="6">
        <v>2.2601230000000001</v>
      </c>
      <c r="L56" s="6">
        <v>0.12784499999999999</v>
      </c>
      <c r="M56" s="6">
        <v>9.4289999999999999E-2</v>
      </c>
      <c r="N56" s="6">
        <v>2.7800099999999999</v>
      </c>
      <c r="O56" s="6">
        <v>0.1133</v>
      </c>
      <c r="Q56">
        <f>J56-M56</f>
        <v>1.8345E-2</v>
      </c>
      <c r="R56">
        <f t="shared" si="3"/>
        <v>-0.51988699999999977</v>
      </c>
      <c r="S56">
        <f t="shared" si="4"/>
        <v>1.4544999999999988E-2</v>
      </c>
    </row>
    <row r="57" spans="1:24">
      <c r="A57" s="54" t="s">
        <v>35</v>
      </c>
      <c r="B57" s="54"/>
      <c r="C57" s="54"/>
      <c r="D57" s="54"/>
      <c r="J57">
        <f>AVERAGE(J54:J56)</f>
        <v>0.11308533333333333</v>
      </c>
      <c r="K57">
        <f t="shared" ref="K57:O57" si="7">AVERAGE(K54:K56)</f>
        <v>2.2242763333333335</v>
      </c>
      <c r="L57">
        <f t="shared" si="7"/>
        <v>0.12726966666666664</v>
      </c>
      <c r="M57">
        <f t="shared" si="7"/>
        <v>9.6373333333333325E-2</v>
      </c>
      <c r="N57">
        <f t="shared" si="7"/>
        <v>2.5059999999999998</v>
      </c>
      <c r="O57">
        <f t="shared" si="7"/>
        <v>0.11259333333333334</v>
      </c>
      <c r="Q57">
        <f>J57-M57</f>
        <v>1.6712000000000005E-2</v>
      </c>
      <c r="R57">
        <f t="shared" si="3"/>
        <v>-0.28172366666666626</v>
      </c>
      <c r="S57">
        <f t="shared" si="4"/>
        <v>1.4676333333333305E-2</v>
      </c>
    </row>
    <row r="58" spans="1:24">
      <c r="A58" t="s">
        <v>31</v>
      </c>
      <c r="B58">
        <v>89.186171999999999</v>
      </c>
      <c r="C58">
        <v>79.754562000000007</v>
      </c>
      <c r="D58">
        <v>78.550514000000007</v>
      </c>
    </row>
    <row r="59" spans="1:24">
      <c r="A59" t="s">
        <v>32</v>
      </c>
      <c r="B59">
        <v>87.112740000000002</v>
      </c>
      <c r="C59">
        <v>76.859818000000004</v>
      </c>
      <c r="D59">
        <v>75.720955000000004</v>
      </c>
      <c r="I59" s="54" t="s">
        <v>44</v>
      </c>
      <c r="J59" s="54"/>
      <c r="K59" s="54"/>
    </row>
    <row r="60" spans="1:24">
      <c r="A60" t="s">
        <v>33</v>
      </c>
      <c r="B60">
        <v>75.430655999999999</v>
      </c>
      <c r="C60">
        <v>64.199950999999999</v>
      </c>
      <c r="D60">
        <v>62.902301999999999</v>
      </c>
      <c r="J60" t="s">
        <v>36</v>
      </c>
      <c r="K60" t="s">
        <v>30</v>
      </c>
    </row>
    <row r="61" spans="1:24">
      <c r="I61" t="s">
        <v>37</v>
      </c>
      <c r="J61">
        <f>L51</f>
        <v>0.12936300000000001</v>
      </c>
      <c r="K61">
        <f>O51</f>
        <v>0.11198666666666668</v>
      </c>
    </row>
    <row r="62" spans="1:24">
      <c r="I62" t="s">
        <v>38</v>
      </c>
      <c r="J62">
        <f>L57</f>
        <v>0.12726966666666664</v>
      </c>
      <c r="K62">
        <f>O57</f>
        <v>0.11259333333333334</v>
      </c>
    </row>
    <row r="63" spans="1:24">
      <c r="A63" s="54" t="s">
        <v>45</v>
      </c>
      <c r="B63" s="54"/>
      <c r="C63" s="54"/>
      <c r="D63" s="54"/>
      <c r="O63" s="54" t="s">
        <v>66</v>
      </c>
      <c r="P63" s="54"/>
      <c r="Q63" s="54"/>
      <c r="R63" s="54"/>
      <c r="S63" s="54"/>
      <c r="T63" s="54" t="s">
        <v>65</v>
      </c>
      <c r="U63" s="54"/>
      <c r="V63" s="54"/>
      <c r="W63" s="54"/>
      <c r="X63" s="4"/>
    </row>
    <row r="64" spans="1:24" ht="17">
      <c r="A64" t="s">
        <v>31</v>
      </c>
      <c r="B64" s="4">
        <v>69.597938999999997</v>
      </c>
      <c r="C64" s="4">
        <v>65.982010000000002</v>
      </c>
      <c r="D64" s="4">
        <v>59.284453999999997</v>
      </c>
      <c r="I64" t="s">
        <v>43</v>
      </c>
      <c r="P64" s="6" t="s">
        <v>54</v>
      </c>
      <c r="Q64" t="s">
        <v>55</v>
      </c>
      <c r="R64" t="s">
        <v>56</v>
      </c>
      <c r="S64" t="s">
        <v>57</v>
      </c>
      <c r="T64" s="6" t="s">
        <v>54</v>
      </c>
      <c r="U64" t="s">
        <v>55</v>
      </c>
      <c r="V64" t="s">
        <v>56</v>
      </c>
      <c r="W64" t="s">
        <v>57</v>
      </c>
    </row>
    <row r="65" spans="1:23" ht="17">
      <c r="A65" t="s">
        <v>32</v>
      </c>
      <c r="B65">
        <v>86.340369999999993</v>
      </c>
      <c r="C65">
        <v>76.187859000000003</v>
      </c>
      <c r="D65">
        <v>68.103294000000005</v>
      </c>
      <c r="I65" t="s">
        <v>42</v>
      </c>
      <c r="O65" s="6" t="s">
        <v>58</v>
      </c>
      <c r="P65">
        <v>0.52</v>
      </c>
      <c r="Q65">
        <v>0.62</v>
      </c>
      <c r="R65">
        <v>0.54</v>
      </c>
      <c r="S65">
        <v>206</v>
      </c>
      <c r="T65" s="6">
        <v>0.81</v>
      </c>
      <c r="U65">
        <v>0.9</v>
      </c>
      <c r="V65">
        <v>0.85</v>
      </c>
      <c r="W65">
        <v>193</v>
      </c>
    </row>
    <row r="66" spans="1:23" ht="17">
      <c r="A66" t="s">
        <v>33</v>
      </c>
      <c r="B66">
        <v>73.632262999999995</v>
      </c>
      <c r="C66">
        <v>58.473990999999998</v>
      </c>
      <c r="D66">
        <v>50.744587000000003</v>
      </c>
      <c r="O66" s="6" t="s">
        <v>59</v>
      </c>
      <c r="P66">
        <v>0.46</v>
      </c>
      <c r="Q66">
        <v>0.33</v>
      </c>
      <c r="R66">
        <v>0.38</v>
      </c>
      <c r="S66">
        <v>206</v>
      </c>
      <c r="T66" s="6">
        <v>0.9</v>
      </c>
      <c r="U66">
        <v>0.81</v>
      </c>
      <c r="V66">
        <v>0.85</v>
      </c>
      <c r="W66">
        <v>218</v>
      </c>
    </row>
    <row r="67" spans="1:23" ht="17">
      <c r="A67" s="54" t="s">
        <v>46</v>
      </c>
      <c r="B67" s="54"/>
      <c r="C67" s="54"/>
      <c r="D67" s="54"/>
      <c r="O67" s="6" t="s">
        <v>60</v>
      </c>
      <c r="P67">
        <v>0.47</v>
      </c>
      <c r="Q67">
        <v>0.47</v>
      </c>
      <c r="R67">
        <v>0.46</v>
      </c>
      <c r="S67">
        <v>412</v>
      </c>
      <c r="T67" s="6">
        <v>0.86</v>
      </c>
      <c r="U67">
        <v>0.85</v>
      </c>
      <c r="V67">
        <v>0.85</v>
      </c>
      <c r="W67">
        <v>411</v>
      </c>
    </row>
    <row r="68" spans="1:23">
      <c r="A68" t="s">
        <v>31</v>
      </c>
      <c r="B68">
        <v>77.520409000000001</v>
      </c>
      <c r="C68">
        <v>67.733231000000004</v>
      </c>
      <c r="D68">
        <v>62.281650999999997</v>
      </c>
      <c r="O68" s="54" t="s">
        <v>65</v>
      </c>
      <c r="P68" s="54"/>
      <c r="Q68" s="54"/>
      <c r="R68" s="54"/>
      <c r="S68" s="54"/>
    </row>
    <row r="69" spans="1:23" ht="17">
      <c r="A69" t="s">
        <v>32</v>
      </c>
      <c r="B69">
        <v>88.635024999999999</v>
      </c>
      <c r="C69">
        <v>75.361214000000004</v>
      </c>
      <c r="D69">
        <v>69.502548000000004</v>
      </c>
      <c r="P69" s="6" t="s">
        <v>54</v>
      </c>
      <c r="Q69" t="s">
        <v>55</v>
      </c>
      <c r="R69" t="s">
        <v>56</v>
      </c>
      <c r="S69" t="s">
        <v>57</v>
      </c>
    </row>
    <row r="70" spans="1:23" ht="17">
      <c r="A70" t="s">
        <v>33</v>
      </c>
      <c r="B70">
        <v>68.620864999999995</v>
      </c>
      <c r="C70">
        <v>49.455607999999998</v>
      </c>
      <c r="D70">
        <v>45.809916999999999</v>
      </c>
      <c r="O70" s="6" t="s">
        <v>58</v>
      </c>
      <c r="P70" s="6">
        <v>0.81</v>
      </c>
      <c r="Q70">
        <v>0.9</v>
      </c>
      <c r="R70">
        <v>0.85</v>
      </c>
      <c r="S70">
        <v>193</v>
      </c>
    </row>
    <row r="71" spans="1:23" ht="18" thickBot="1">
      <c r="A71" s="9"/>
      <c r="B71" s="20"/>
      <c r="C71" s="20"/>
      <c r="D71" s="20"/>
      <c r="E71" s="20"/>
      <c r="F71" s="20"/>
      <c r="G71" s="20"/>
      <c r="H71" s="20"/>
      <c r="O71" s="6" t="s">
        <v>59</v>
      </c>
      <c r="P71" s="6">
        <v>0.9</v>
      </c>
      <c r="Q71">
        <v>0.81</v>
      </c>
      <c r="R71">
        <v>0.85</v>
      </c>
      <c r="S71">
        <v>218</v>
      </c>
      <c r="U71" s="5"/>
    </row>
    <row r="72" spans="1:23" ht="19" thickTop="1" thickBot="1">
      <c r="A72" s="40" t="s">
        <v>48</v>
      </c>
      <c r="B72" s="31"/>
      <c r="C72" s="56" t="s">
        <v>37</v>
      </c>
      <c r="D72" s="56"/>
      <c r="E72" s="57"/>
      <c r="F72" s="51" t="s">
        <v>38</v>
      </c>
      <c r="G72" s="52"/>
      <c r="H72" s="53"/>
      <c r="O72" s="6" t="s">
        <v>60</v>
      </c>
      <c r="P72" s="6">
        <v>0.86</v>
      </c>
      <c r="Q72">
        <v>0.85</v>
      </c>
      <c r="R72">
        <v>0.85</v>
      </c>
      <c r="S72">
        <v>411</v>
      </c>
    </row>
    <row r="73" spans="1:23" ht="19" thickTop="1" thickBot="1">
      <c r="A73" s="39" t="s">
        <v>49</v>
      </c>
      <c r="B73" s="28"/>
      <c r="C73" s="29" t="s">
        <v>22</v>
      </c>
      <c r="D73" s="29" t="s">
        <v>47</v>
      </c>
      <c r="E73" s="30" t="s">
        <v>24</v>
      </c>
      <c r="F73" s="32" t="s">
        <v>22</v>
      </c>
      <c r="G73" s="29" t="s">
        <v>47</v>
      </c>
      <c r="H73" s="30" t="s">
        <v>24</v>
      </c>
      <c r="J73" s="6" t="s">
        <v>50</v>
      </c>
    </row>
    <row r="74" spans="1:23" ht="17" thickTop="1">
      <c r="A74" s="42" t="s">
        <v>30</v>
      </c>
      <c r="B74" s="23" t="s">
        <v>31</v>
      </c>
      <c r="C74" s="12">
        <v>86.987999000000002</v>
      </c>
      <c r="D74" s="12">
        <v>77.105689999999996</v>
      </c>
      <c r="E74" s="16">
        <v>68.012459000000007</v>
      </c>
      <c r="F74" s="33">
        <v>89.186171999999999</v>
      </c>
      <c r="G74" s="12">
        <v>79.754562000000007</v>
      </c>
      <c r="H74" s="16">
        <v>78.550514000000007</v>
      </c>
    </row>
    <row r="75" spans="1:23" ht="17">
      <c r="A75" s="43"/>
      <c r="B75" s="24" t="s">
        <v>32</v>
      </c>
      <c r="C75" s="7">
        <v>86.00412</v>
      </c>
      <c r="D75" s="7">
        <v>74.355941999999999</v>
      </c>
      <c r="E75" s="19">
        <v>65.62397</v>
      </c>
      <c r="F75" s="8">
        <v>87.112740000000002</v>
      </c>
      <c r="G75" s="11">
        <v>76.859818000000004</v>
      </c>
      <c r="H75" s="17">
        <v>75.720955000000004</v>
      </c>
      <c r="J75" s="6" t="s">
        <v>51</v>
      </c>
    </row>
    <row r="76" spans="1:23" ht="18" thickBot="1">
      <c r="A76" s="44"/>
      <c r="B76" s="25" t="s">
        <v>33</v>
      </c>
      <c r="C76" s="10">
        <v>75.447768999999994</v>
      </c>
      <c r="D76" s="10">
        <v>63.742085000000003</v>
      </c>
      <c r="E76" s="15">
        <v>54.334251000000002</v>
      </c>
      <c r="F76" s="34">
        <v>75.430655999999999</v>
      </c>
      <c r="G76" s="10">
        <v>64.199950999999999</v>
      </c>
      <c r="H76" s="15">
        <v>62.902301999999999</v>
      </c>
      <c r="J76" s="6" t="s">
        <v>52</v>
      </c>
    </row>
    <row r="77" spans="1:23">
      <c r="A77" s="45" t="s">
        <v>36</v>
      </c>
      <c r="B77" s="26" t="s">
        <v>31</v>
      </c>
      <c r="C77" s="14">
        <v>69.597938999999997</v>
      </c>
      <c r="D77" s="14">
        <v>65.982010000000002</v>
      </c>
      <c r="E77" s="38">
        <v>59.284453999999997</v>
      </c>
      <c r="F77" s="35">
        <v>77.520409000000001</v>
      </c>
      <c r="G77" s="13">
        <v>67.733231000000004</v>
      </c>
      <c r="H77" s="18">
        <v>62.281650999999997</v>
      </c>
      <c r="N77" s="54" t="s">
        <v>36</v>
      </c>
      <c r="O77" s="54"/>
      <c r="P77" s="54"/>
      <c r="Q77" s="54" t="s">
        <v>30</v>
      </c>
      <c r="R77" s="54"/>
      <c r="S77" s="54"/>
    </row>
    <row r="78" spans="1:23" ht="17">
      <c r="A78" s="46"/>
      <c r="B78" s="24" t="s">
        <v>32</v>
      </c>
      <c r="C78" s="11">
        <v>86.340369999999993</v>
      </c>
      <c r="D78" s="11">
        <v>76.187859000000003</v>
      </c>
      <c r="E78" s="17">
        <v>68.103294000000005</v>
      </c>
      <c r="F78" s="36">
        <v>88.635024999999999</v>
      </c>
      <c r="G78" s="7">
        <v>75.361214000000004</v>
      </c>
      <c r="H78" s="19">
        <v>69.502548000000004</v>
      </c>
      <c r="J78" s="6" t="s">
        <v>53</v>
      </c>
      <c r="N78" t="s">
        <v>39</v>
      </c>
      <c r="O78" t="s">
        <v>40</v>
      </c>
      <c r="P78" t="s">
        <v>41</v>
      </c>
      <c r="Q78" t="s">
        <v>39</v>
      </c>
      <c r="R78" t="s">
        <v>40</v>
      </c>
      <c r="S78" t="s">
        <v>41</v>
      </c>
    </row>
    <row r="79" spans="1:23" ht="17" thickBot="1">
      <c r="A79" s="47"/>
      <c r="B79" s="27" t="s">
        <v>33</v>
      </c>
      <c r="C79" s="21">
        <v>73.632262999999995</v>
      </c>
      <c r="D79" s="21">
        <v>58.473990999999998</v>
      </c>
      <c r="E79" s="22">
        <v>50.744587000000003</v>
      </c>
      <c r="F79" s="37">
        <v>68.620864999999995</v>
      </c>
      <c r="G79" s="21">
        <v>49.455607999999998</v>
      </c>
      <c r="H79" s="22">
        <v>45.809916999999999</v>
      </c>
      <c r="M79" t="s">
        <v>37</v>
      </c>
      <c r="N79" s="41">
        <v>0.11263699999999999</v>
      </c>
      <c r="O79" s="41">
        <v>3.8125603333333338</v>
      </c>
      <c r="P79" s="41">
        <v>0.12936300000000001</v>
      </c>
      <c r="Q79" s="41">
        <v>9.4689999999999996E-2</v>
      </c>
      <c r="R79" s="41">
        <v>2.45675</v>
      </c>
      <c r="S79" s="41">
        <v>0.11198666666666668</v>
      </c>
    </row>
    <row r="80" spans="1:23" ht="18" thickTop="1">
      <c r="J80" s="6" t="s">
        <v>61</v>
      </c>
      <c r="M80" t="s">
        <v>38</v>
      </c>
      <c r="N80" s="41">
        <v>0.11308533333333333</v>
      </c>
      <c r="O80" s="41">
        <v>2.2242763333333335</v>
      </c>
      <c r="P80" s="41">
        <v>0.12726966666666664</v>
      </c>
      <c r="Q80" s="41">
        <v>9.6373333333333325E-2</v>
      </c>
      <c r="R80" s="41">
        <v>2.5059999999999998</v>
      </c>
      <c r="S80" s="41">
        <v>0.11259333333333334</v>
      </c>
    </row>
    <row r="82" spans="1:17" ht="17">
      <c r="J82" s="6" t="s">
        <v>62</v>
      </c>
    </row>
    <row r="83" spans="1:17" ht="17">
      <c r="J83" s="6" t="s">
        <v>63</v>
      </c>
    </row>
    <row r="85" spans="1:17" ht="17">
      <c r="J85" s="6" t="s">
        <v>64</v>
      </c>
    </row>
    <row r="86" spans="1:17">
      <c r="A86" s="54" t="s">
        <v>8</v>
      </c>
      <c r="B86" s="54"/>
      <c r="C86" s="54"/>
      <c r="D86" s="54"/>
    </row>
    <row r="87" spans="1:17">
      <c r="A87" s="23" t="s">
        <v>31</v>
      </c>
      <c r="B87">
        <v>66.309807000000006</v>
      </c>
      <c r="C87">
        <v>60.556213</v>
      </c>
      <c r="D87">
        <v>53.479140999999998</v>
      </c>
      <c r="N87" s="54" t="s">
        <v>70</v>
      </c>
      <c r="O87" s="54"/>
      <c r="P87" s="54"/>
      <c r="Q87" s="54"/>
    </row>
    <row r="88" spans="1:17" ht="17">
      <c r="A88" s="24" t="s">
        <v>32</v>
      </c>
      <c r="B88">
        <v>50.308723000000001</v>
      </c>
      <c r="C88">
        <v>46.726196000000002</v>
      </c>
      <c r="D88">
        <v>41.245510000000003</v>
      </c>
      <c r="J88" s="6" t="s">
        <v>61</v>
      </c>
      <c r="N88" s="6" t="s">
        <v>54</v>
      </c>
      <c r="O88" t="s">
        <v>55</v>
      </c>
      <c r="P88" t="s">
        <v>56</v>
      </c>
      <c r="Q88" t="s">
        <v>57</v>
      </c>
    </row>
    <row r="89" spans="1:17" ht="18" thickBot="1">
      <c r="A89" s="25" t="s">
        <v>33</v>
      </c>
      <c r="B89">
        <v>34.161884000000001</v>
      </c>
      <c r="C89">
        <v>30.576440999999999</v>
      </c>
      <c r="D89">
        <v>28.982102999999999</v>
      </c>
      <c r="M89" s="6" t="s">
        <v>58</v>
      </c>
      <c r="N89">
        <v>0.52</v>
      </c>
      <c r="O89">
        <v>0.45</v>
      </c>
      <c r="P89">
        <v>0.48</v>
      </c>
      <c r="Q89">
        <v>206</v>
      </c>
    </row>
    <row r="90" spans="1:17" ht="17">
      <c r="J90" s="6" t="s">
        <v>67</v>
      </c>
      <c r="M90" s="6" t="s">
        <v>59</v>
      </c>
      <c r="N90">
        <v>0.51</v>
      </c>
      <c r="O90">
        <v>0.57999999999999996</v>
      </c>
      <c r="P90">
        <v>0.55000000000000004</v>
      </c>
      <c r="Q90">
        <v>206</v>
      </c>
    </row>
    <row r="91" spans="1:17" ht="17">
      <c r="J91" s="6" t="s">
        <v>68</v>
      </c>
      <c r="M91" s="6" t="s">
        <v>60</v>
      </c>
      <c r="N91">
        <v>0.51</v>
      </c>
      <c r="O91">
        <v>0.51</v>
      </c>
      <c r="P91">
        <v>0.51</v>
      </c>
      <c r="Q91">
        <v>412</v>
      </c>
    </row>
    <row r="92" spans="1:17">
      <c r="B92" s="54" t="s">
        <v>8</v>
      </c>
      <c r="C92" s="54"/>
      <c r="D92" s="54"/>
      <c r="E92" s="54"/>
    </row>
    <row r="93" spans="1:17" ht="18" thickBot="1">
      <c r="A93" s="39" t="s">
        <v>49</v>
      </c>
      <c r="B93" s="28"/>
      <c r="C93" s="29" t="s">
        <v>22</v>
      </c>
      <c r="D93" s="29" t="s">
        <v>47</v>
      </c>
      <c r="E93" s="30" t="s">
        <v>24</v>
      </c>
      <c r="J93" s="6" t="s">
        <v>69</v>
      </c>
    </row>
    <row r="94" spans="1:17" ht="17" thickTop="1">
      <c r="A94" s="42" t="s">
        <v>30</v>
      </c>
      <c r="B94" s="23" t="s">
        <v>31</v>
      </c>
      <c r="C94">
        <v>66.309807000000006</v>
      </c>
      <c r="D94">
        <v>60.556213</v>
      </c>
      <c r="E94">
        <v>53.479140999999998</v>
      </c>
    </row>
    <row r="95" spans="1:17">
      <c r="A95" s="43"/>
      <c r="B95" s="24" t="s">
        <v>32</v>
      </c>
      <c r="C95">
        <v>50.308723000000001</v>
      </c>
      <c r="D95">
        <v>46.726196000000002</v>
      </c>
      <c r="E95">
        <v>41.245510000000003</v>
      </c>
    </row>
    <row r="96" spans="1:17" ht="17" thickBot="1">
      <c r="A96" s="44"/>
      <c r="B96" s="25" t="s">
        <v>33</v>
      </c>
      <c r="C96">
        <v>34.161884000000001</v>
      </c>
      <c r="D96">
        <v>30.576440999999999</v>
      </c>
      <c r="E96">
        <v>28.982102999999999</v>
      </c>
    </row>
    <row r="97" spans="1:8">
      <c r="A97" s="45" t="s">
        <v>36</v>
      </c>
      <c r="B97" s="26" t="s">
        <v>31</v>
      </c>
      <c r="C97" s="14">
        <v>69.597938999999997</v>
      </c>
      <c r="D97" s="14">
        <v>65.982010000000002</v>
      </c>
      <c r="E97" s="38">
        <v>59.284453999999997</v>
      </c>
    </row>
    <row r="98" spans="1:8">
      <c r="A98" s="46"/>
      <c r="B98" s="24" t="s">
        <v>32</v>
      </c>
      <c r="C98" s="11">
        <v>86.340369999999993</v>
      </c>
      <c r="D98" s="11">
        <v>76.187859000000003</v>
      </c>
      <c r="E98" s="17">
        <v>68.103294000000005</v>
      </c>
    </row>
    <row r="99" spans="1:8" ht="17" thickBot="1">
      <c r="A99" s="47"/>
      <c r="B99" s="27" t="s">
        <v>33</v>
      </c>
      <c r="C99" s="21">
        <v>73.632262999999995</v>
      </c>
      <c r="D99" s="21">
        <v>58.473990999999998</v>
      </c>
      <c r="E99" s="22">
        <v>50.744587000000003</v>
      </c>
    </row>
    <row r="100" spans="1:8" ht="17" thickTop="1"/>
    <row r="102" spans="1:8" ht="17" thickBot="1"/>
    <row r="103" spans="1:8" ht="18" thickTop="1" thickBot="1">
      <c r="A103" s="40" t="s">
        <v>48</v>
      </c>
      <c r="B103" s="48" t="s">
        <v>71</v>
      </c>
      <c r="C103" s="49"/>
      <c r="D103" s="49"/>
      <c r="E103" s="50"/>
      <c r="F103" s="51" t="s">
        <v>72</v>
      </c>
      <c r="G103" s="52"/>
      <c r="H103" s="53"/>
    </row>
    <row r="104" spans="1:8" ht="18" thickTop="1" thickBot="1">
      <c r="A104" s="39" t="s">
        <v>49</v>
      </c>
      <c r="B104" s="28"/>
      <c r="C104" s="29" t="s">
        <v>22</v>
      </c>
      <c r="D104" s="29" t="s">
        <v>47</v>
      </c>
      <c r="E104" s="30" t="s">
        <v>24</v>
      </c>
      <c r="F104" s="32" t="s">
        <v>22</v>
      </c>
      <c r="G104" s="29" t="s">
        <v>47</v>
      </c>
      <c r="H104" s="30" t="s">
        <v>24</v>
      </c>
    </row>
    <row r="105" spans="1:8" ht="17" thickTop="1">
      <c r="A105" s="42" t="s">
        <v>30</v>
      </c>
      <c r="B105" s="23" t="s">
        <v>31</v>
      </c>
      <c r="C105" s="12">
        <v>86.987999000000002</v>
      </c>
      <c r="D105" s="12">
        <v>77.105689999999996</v>
      </c>
      <c r="E105" s="16">
        <v>68.012459000000007</v>
      </c>
      <c r="F105" s="33">
        <v>41.648921999999999</v>
      </c>
      <c r="G105" s="12">
        <v>40.789223</v>
      </c>
      <c r="H105" s="16">
        <v>37.975712000000001</v>
      </c>
    </row>
    <row r="106" spans="1:8">
      <c r="A106" s="43"/>
      <c r="B106" s="24" t="s">
        <v>32</v>
      </c>
      <c r="C106" s="7">
        <v>86.00412</v>
      </c>
      <c r="D106" s="7">
        <v>74.355941999999999</v>
      </c>
      <c r="E106" s="19">
        <v>65.62397</v>
      </c>
      <c r="F106" s="8">
        <v>38.399113</v>
      </c>
      <c r="G106" s="11">
        <v>35.766421999999999</v>
      </c>
      <c r="H106" s="17">
        <v>35.053738000000003</v>
      </c>
    </row>
    <row r="107" spans="1:8" ht="17" thickBot="1">
      <c r="A107" s="44"/>
      <c r="B107" s="25" t="s">
        <v>33</v>
      </c>
      <c r="C107" s="10">
        <v>75.447768999999994</v>
      </c>
      <c r="D107" s="10">
        <v>63.742085000000003</v>
      </c>
      <c r="E107" s="15">
        <v>54.334251000000002</v>
      </c>
      <c r="F107" s="34">
        <v>30.298995999999999</v>
      </c>
      <c r="G107" s="10">
        <v>28.810305</v>
      </c>
      <c r="H107" s="15">
        <v>27.585851999999999</v>
      </c>
    </row>
    <row r="108" spans="1:8">
      <c r="A108" s="45" t="s">
        <v>36</v>
      </c>
      <c r="B108" s="26" t="s">
        <v>31</v>
      </c>
      <c r="C108">
        <v>65.951279</v>
      </c>
      <c r="D108">
        <v>56.683436999999998</v>
      </c>
      <c r="E108">
        <v>55.972510999999997</v>
      </c>
      <c r="F108">
        <v>66.309807000000006</v>
      </c>
      <c r="G108">
        <v>60.556213</v>
      </c>
      <c r="H108">
        <v>53.479140999999998</v>
      </c>
    </row>
    <row r="109" spans="1:8">
      <c r="A109" s="46"/>
      <c r="B109" s="24" t="s">
        <v>32</v>
      </c>
      <c r="C109">
        <v>81.242408999999995</v>
      </c>
      <c r="D109">
        <v>70.672707000000003</v>
      </c>
      <c r="E109">
        <v>65.347594999999998</v>
      </c>
      <c r="F109">
        <v>50.308723000000001</v>
      </c>
      <c r="G109">
        <v>46.726196000000002</v>
      </c>
      <c r="H109">
        <v>41.245510000000003</v>
      </c>
    </row>
    <row r="110" spans="1:8" ht="17" thickBot="1">
      <c r="A110" s="47"/>
      <c r="B110" s="27" t="s">
        <v>33</v>
      </c>
      <c r="C110">
        <v>40.000149</v>
      </c>
      <c r="D110">
        <v>34.892158999999999</v>
      </c>
      <c r="E110">
        <v>31.376111999999999</v>
      </c>
      <c r="F110">
        <v>34.161884000000001</v>
      </c>
      <c r="G110">
        <v>30.576440999999999</v>
      </c>
      <c r="H110">
        <v>28.982102999999999</v>
      </c>
    </row>
    <row r="111" spans="1:8" ht="17" thickTop="1"/>
    <row r="118" spans="1:10">
      <c r="F118" t="s">
        <v>73</v>
      </c>
      <c r="G118">
        <v>56.683436999999998</v>
      </c>
      <c r="H118">
        <v>55.972510999999997</v>
      </c>
      <c r="J118" t="s">
        <v>73</v>
      </c>
    </row>
    <row r="119" spans="1:10">
      <c r="A119" t="s">
        <v>78</v>
      </c>
      <c r="F119" t="s">
        <v>74</v>
      </c>
      <c r="G119">
        <v>70.672707000000003</v>
      </c>
      <c r="H119">
        <v>65.347594999999998</v>
      </c>
      <c r="J119" t="s">
        <v>74</v>
      </c>
    </row>
    <row r="120" spans="1:10">
      <c r="F120" t="s">
        <v>75</v>
      </c>
      <c r="G120">
        <v>34.892158999999999</v>
      </c>
      <c r="H120">
        <v>31.376111999999999</v>
      </c>
      <c r="J120" t="s">
        <v>75</v>
      </c>
    </row>
    <row r="121" spans="1:10">
      <c r="F121" t="s">
        <v>76</v>
      </c>
      <c r="J121" t="s">
        <v>76</v>
      </c>
    </row>
    <row r="122" spans="1:10">
      <c r="A122" t="s">
        <v>79</v>
      </c>
      <c r="B122" t="s">
        <v>81</v>
      </c>
      <c r="C122" t="s">
        <v>88</v>
      </c>
      <c r="D122" t="s">
        <v>44</v>
      </c>
      <c r="F122" t="s">
        <v>77</v>
      </c>
      <c r="J122" t="s">
        <v>77</v>
      </c>
    </row>
    <row r="123" spans="1:10">
      <c r="A123" t="s">
        <v>36</v>
      </c>
      <c r="B123" t="s">
        <v>84</v>
      </c>
      <c r="C123" t="s">
        <v>89</v>
      </c>
      <c r="D123" t="s">
        <v>91</v>
      </c>
    </row>
    <row r="124" spans="1:10">
      <c r="A124" t="s">
        <v>30</v>
      </c>
      <c r="B124" t="s">
        <v>85</v>
      </c>
      <c r="C124" t="s">
        <v>90</v>
      </c>
      <c r="D124" t="s">
        <v>91</v>
      </c>
    </row>
    <row r="125" spans="1:10">
      <c r="A125" t="s">
        <v>80</v>
      </c>
      <c r="B125" t="s">
        <v>85</v>
      </c>
      <c r="C125" t="s">
        <v>89</v>
      </c>
      <c r="D125" t="s">
        <v>92</v>
      </c>
    </row>
    <row r="126" spans="1:10">
      <c r="A126" t="s">
        <v>82</v>
      </c>
      <c r="B126" t="s">
        <v>86</v>
      </c>
      <c r="C126" t="s">
        <v>90</v>
      </c>
      <c r="D126" t="s">
        <v>103</v>
      </c>
    </row>
    <row r="127" spans="1:10">
      <c r="A127" t="s">
        <v>83</v>
      </c>
      <c r="B127" t="s">
        <v>87</v>
      </c>
      <c r="C127" t="s">
        <v>90</v>
      </c>
      <c r="D127" t="s">
        <v>104</v>
      </c>
    </row>
    <row r="128" spans="1:10">
      <c r="G128" t="s">
        <v>93</v>
      </c>
    </row>
    <row r="129" spans="7:7">
      <c r="G129" t="s">
        <v>94</v>
      </c>
    </row>
    <row r="130" spans="7:7">
      <c r="G130" t="s">
        <v>95</v>
      </c>
    </row>
    <row r="131" spans="7:7">
      <c r="G131" t="s">
        <v>96</v>
      </c>
    </row>
    <row r="132" spans="7:7">
      <c r="G132" t="s">
        <v>97</v>
      </c>
    </row>
    <row r="133" spans="7:7">
      <c r="G133" t="s">
        <v>98</v>
      </c>
    </row>
    <row r="134" spans="7:7">
      <c r="G134" t="s">
        <v>99</v>
      </c>
    </row>
    <row r="135" spans="7:7">
      <c r="G135" t="s">
        <v>100</v>
      </c>
    </row>
    <row r="136" spans="7:7">
      <c r="G136" t="s">
        <v>101</v>
      </c>
    </row>
    <row r="137" spans="7:7">
      <c r="G137" t="s">
        <v>102</v>
      </c>
    </row>
  </sheetData>
  <mergeCells count="35">
    <mergeCell ref="C72:E72"/>
    <mergeCell ref="F72:H72"/>
    <mergeCell ref="A31:D31"/>
    <mergeCell ref="F1:I1"/>
    <mergeCell ref="F8:I8"/>
    <mergeCell ref="A37:D37"/>
    <mergeCell ref="A43:D43"/>
    <mergeCell ref="A1:D1"/>
    <mergeCell ref="A7:D7"/>
    <mergeCell ref="A13:D13"/>
    <mergeCell ref="A19:D19"/>
    <mergeCell ref="A25:D25"/>
    <mergeCell ref="N87:Q87"/>
    <mergeCell ref="T63:W63"/>
    <mergeCell ref="A86:D86"/>
    <mergeCell ref="I59:K59"/>
    <mergeCell ref="J46:L46"/>
    <mergeCell ref="M46:O46"/>
    <mergeCell ref="A74:A76"/>
    <mergeCell ref="A77:A79"/>
    <mergeCell ref="A50:D50"/>
    <mergeCell ref="A57:D57"/>
    <mergeCell ref="A63:D63"/>
    <mergeCell ref="A67:D67"/>
    <mergeCell ref="O63:S63"/>
    <mergeCell ref="O68:S68"/>
    <mergeCell ref="N77:P77"/>
    <mergeCell ref="Q77:S77"/>
    <mergeCell ref="A105:A107"/>
    <mergeCell ref="A108:A110"/>
    <mergeCell ref="B103:E103"/>
    <mergeCell ref="F103:H103"/>
    <mergeCell ref="B92:E92"/>
    <mergeCell ref="A94:A96"/>
    <mergeCell ref="A97:A99"/>
  </mergeCells>
  <pageMargins left="0" right="0" top="0.39370078740157505" bottom="0.39370078740157505" header="0" footer="0"/>
  <pageSetup paperSize="9" orientation="portrait" horizontalDpi="0" verticalDpi="0"/>
  <headerFooter>
    <oddHeader>&amp;C&amp;A</oddHeader>
    <oddFooter>&amp;CPage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181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Jones Agwata</dc:creator>
  <cp:lastModifiedBy>Jones Agwata</cp:lastModifiedBy>
  <cp:revision>3</cp:revision>
  <dcterms:created xsi:type="dcterms:W3CDTF">2018-06-26T08:33:18Z</dcterms:created>
  <dcterms:modified xsi:type="dcterms:W3CDTF">2018-08-24T09:40:27Z</dcterms:modified>
</cp:coreProperties>
</file>